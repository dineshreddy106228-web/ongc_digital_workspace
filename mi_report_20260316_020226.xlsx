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Plant Rollup Map" sheetId="1" state="visible" r:id="rId1"/>
    <sheet xmlns:r="http://schemas.openxmlformats.org/officeDocument/2006/relationships" name="1_Quality Summary" sheetId="2" state="visible" r:id="rId2"/>
    <sheet xmlns:r="http://schemas.openxmlformats.org/officeDocument/2006/relationships" name="2_Monthly Pivot" sheetId="3" state="visible" r:id="rId3"/>
    <sheet xmlns:r="http://schemas.openxmlformats.org/officeDocument/2006/relationships" name="3_Long Format" sheetId="4" state="visible" r:id="rId4"/>
    <sheet xmlns:r="http://schemas.openxmlformats.org/officeDocument/2006/relationships" name="4_Source Audit" sheetId="5" state="visible" r:id="rId5"/>
    <sheet xmlns:r="http://schemas.openxmlformats.org/officeDocument/2006/relationships" name="5_Plant Pivot" sheetId="6" state="visible" r:id="rId6"/>
    <sheet xmlns:r="http://schemas.openxmlformats.org/officeDocument/2006/relationships" name="_chart_data" sheetId="7" state="hidden" r:id="rId7"/>
    <sheet xmlns:r="http://schemas.openxmlformats.org/officeDocument/2006/relationships" name="6_Char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#,##0.##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444444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D7A55"/>
      <sz val="9"/>
    </font>
    <font>
      <name val="Arial"/>
      <b val="1"/>
      <sz val="10"/>
    </font>
    <font>
      <name val="Arial"/>
      <sz val="9"/>
    </font>
    <font>
      <name val="Arial"/>
      <b val="1"/>
      <color rgb="00FFFFFF"/>
      <sz val="9"/>
    </font>
    <font>
      <name val="Arial"/>
      <color rgb="00222222"/>
      <sz val="8"/>
    </font>
  </fonts>
  <fills count="16">
    <fill>
      <patternFill/>
    </fill>
    <fill>
      <patternFill patternType="gray125"/>
    </fill>
    <fill>
      <patternFill patternType="solid">
        <fgColor rgb="FF1A4A6B"/>
        <bgColor rgb="FF1A4A6B"/>
      </patternFill>
    </fill>
    <fill>
      <patternFill patternType="solid">
        <fgColor rgb="FFE8F4FD"/>
        <bgColor rgb="FFE8F4FD"/>
      </patternFill>
    </fill>
    <fill>
      <patternFill patternType="solid">
        <fgColor rgb="FF185FA5"/>
        <bgColor rgb="FF185FA5"/>
      </patternFill>
    </fill>
    <fill>
      <patternFill patternType="solid">
        <fgColor rgb="FFFFFFFF"/>
        <bgColor rgb="FFFFFFFF"/>
      </patternFill>
    </fill>
    <fill>
      <patternFill patternType="solid">
        <fgColor rgb="FFF7FAFA"/>
        <bgColor rgb="FFF7FAFA"/>
      </patternFill>
    </fill>
    <fill>
      <patternFill patternType="solid">
        <fgColor rgb="FFC7E6D5"/>
        <bgColor rgb="FFC7E6D5"/>
      </patternFill>
    </fill>
    <fill>
      <patternFill patternType="solid">
        <fgColor rgb="FF2E8B6E"/>
        <bgColor rgb="FF2E8B6E"/>
      </patternFill>
    </fill>
    <fill>
      <patternFill patternType="solid">
        <fgColor rgb="FFEAF6F1"/>
        <bgColor rgb="FFEAF6F1"/>
      </patternFill>
    </fill>
    <fill>
      <patternFill patternType="solid">
        <fgColor rgb="FFD5E8D4"/>
        <bgColor rgb="FFD5E8D4"/>
      </patternFill>
    </fill>
    <fill>
      <patternFill patternType="solid">
        <fgColor rgb="FFE8F5E9"/>
        <bgColor rgb="FFE8F5E9"/>
      </patternFill>
    </fill>
    <fill>
      <patternFill patternType="solid">
        <fgColor rgb="FFF0F0F0"/>
        <bgColor rgb="FFF0F0F0"/>
      </patternFill>
    </fill>
    <fill>
      <patternFill patternType="solid">
        <fgColor rgb="FFC8E6C9"/>
        <bgColor rgb="FFC8E6C9"/>
      </patternFill>
    </fill>
    <fill>
      <patternFill patternType="solid">
        <fgColor rgb="FFBBDEFB"/>
        <bgColor rgb="FFBBDEFB"/>
      </patternFill>
    </fill>
    <fill>
      <patternFill patternType="solid">
        <fgColor rgb="FFE1BEE7"/>
        <bgColor rgb="FFE1BE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right" vertical="center"/>
    </xf>
    <xf numFmtId="2" fontId="4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3" fontId="6" fillId="9" borderId="1" applyAlignment="1" pivotButton="0" quotePrefix="0" xfId="0">
      <alignment horizontal="right" vertical="center"/>
    </xf>
    <xf numFmtId="3" fontId="6" fillId="10" borderId="1" applyAlignment="1" pivotButton="0" quotePrefix="0" xfId="0">
      <alignment horizontal="right" vertical="center"/>
    </xf>
    <xf numFmtId="3" fontId="7" fillId="9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 wrapText="1"/>
    </xf>
    <xf numFmtId="165" fontId="7" fillId="6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center" vertical="center" wrapText="1"/>
    </xf>
    <xf numFmtId="165" fontId="7" fillId="11" borderId="1" applyAlignment="1" pivotButton="0" quotePrefix="0" xfId="0">
      <alignment horizontal="left" vertical="center"/>
    </xf>
    <xf numFmtId="0" fontId="2" fillId="12" borderId="0" applyAlignment="1" pivotButton="0" quotePrefix="0" xfId="0">
      <alignment horizontal="left" vertical="center"/>
    </xf>
    <xf numFmtId="0" fontId="9" fillId="13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center" vertical="center" wrapText="1"/>
    </xf>
    <xf numFmtId="0" fontId="9" fillId="15" borderId="1" applyAlignment="1" pivotButton="0" quotePrefix="0" xfId="0">
      <alignment horizontal="center" vertical="center" wrapText="1"/>
    </xf>
    <xf numFmtId="3" fontId="6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3" fontId="4" fillId="6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Materials — Avg Monthly Consumption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'_chart_data'!B1</f>
            </strRef>
          </tx>
          <spPr>
            <a:solidFill xmlns:a="http://schemas.openxmlformats.org/drawingml/2006/main">
              <a:srgbClr val="1A4A6B"/>
            </a:solidFill>
            <a:ln xmlns:a="http://schemas.openxmlformats.org/drawingml/2006/main">
              <a:prstDash val="solid"/>
            </a:ln>
          </spPr>
          <cat>
            <numRef>
              <f>'_chart_data'!$A$2:$A$11</f>
            </numRef>
          </cat>
          <val>
            <numRef>
              <f>'_chart_data'!$B$2:$B$11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Monthly Consumption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Material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Materials — Total Procurement Value (INR)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'_chart_data'!B14</f>
            </strRef>
          </tx>
          <spPr>
            <a:solidFill xmlns:a="http://schemas.openxmlformats.org/drawingml/2006/main">
              <a:srgbClr val="2E8B6E"/>
            </a:solidFill>
            <a:ln xmlns:a="http://schemas.openxmlformats.org/drawingml/2006/main">
              <a:prstDash val="solid"/>
            </a:ln>
          </spPr>
          <cat>
            <numRef>
              <f>'_chart_data'!$A$15:$A$24</f>
            </numRef>
          </cat>
          <val>
            <numRef>
              <f>'_chart_data'!$B$15:$B$24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Procurement Value (INR)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Material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Consumption — Pareto  (Sorted High → Low)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'_chart_data'!B28</f>
            </strRef>
          </tx>
          <spPr>
            <a:solidFill xmlns:a="http://schemas.openxmlformats.org/drawingml/2006/main">
              <a:srgbClr val="1A4A6B"/>
            </a:solidFill>
            <a:ln xmlns:a="http://schemas.openxmlformats.org/drawingml/2006/main">
              <a:prstDash val="solid"/>
            </a:ln>
          </spPr>
          <cat>
            <numRef>
              <f>'_chart_data'!$A$29:$A$64</f>
            </numRef>
          </cat>
          <val>
            <numRef>
              <f>'_chart_data'!$B$29:$B$64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'_chart_data'!C28</f>
            </strRef>
          </tx>
          <spPr>
            <a:ln xmlns:a="http://schemas.openxmlformats.org/drawingml/2006/main" w="25000">
              <a:solidFill>
                <a:srgbClr val="D9770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'_chart_data'!$C$29:$C$64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Consumption (units)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Cumulative 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Procurement Value — Pareto  (Sorted High → Low)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'_chart_data'!B69</f>
            </strRef>
          </tx>
          <spPr>
            <a:solidFill xmlns:a="http://schemas.openxmlformats.org/drawingml/2006/main">
              <a:srgbClr val="2E8B6E"/>
            </a:solidFill>
            <a:ln xmlns:a="http://schemas.openxmlformats.org/drawingml/2006/main">
              <a:prstDash val="solid"/>
            </a:ln>
          </spPr>
          <cat>
            <numRef>
              <f>'_chart_data'!$A$70:$A$83</f>
            </numRef>
          </cat>
          <val>
            <numRef>
              <f>'_chart_data'!$B$70:$B$83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'_chart_data'!C69</f>
            </strRef>
          </tx>
          <spPr>
            <a:ln xmlns:a="http://schemas.openxmlformats.org/drawingml/2006/main" w="25000">
              <a:solidFill>
                <a:srgbClr val="D9770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'_chart_data'!$C$70:$C$83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Proc Value (INR)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Cumulative 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FY Year-on-Year Consumption — Top 10 Materials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'_chart_data'!B88</f>
            </strRef>
          </tx>
          <spPr>
            <a:solidFill xmlns:a="http://schemas.openxmlformats.org/drawingml/2006/main">
              <a:srgbClr val="1A4A6B"/>
            </a:solidFill>
            <a:ln xmlns:a="http://schemas.openxmlformats.org/drawingml/2006/main">
              <a:prstDash val="solid"/>
            </a:ln>
          </spPr>
          <cat>
            <numRef>
              <f>'_chart_data'!$A$89:$A$98</f>
            </numRef>
          </cat>
          <val>
            <numRef>
              <f>'_chart_data'!$B$89:$B$98</f>
            </numRef>
          </val>
        </ser>
        <ser>
          <idx val="1"/>
          <order val="1"/>
          <tx>
            <strRef>
              <f>'_chart_data'!C88</f>
            </strRef>
          </tx>
          <spPr>
            <a:solidFill xmlns:a="http://schemas.openxmlformats.org/drawingml/2006/main">
              <a:srgbClr val="2E8B6E"/>
            </a:solidFill>
            <a:ln xmlns:a="http://schemas.openxmlformats.org/drawingml/2006/main">
              <a:prstDash val="solid"/>
            </a:ln>
          </spPr>
          <cat>
            <numRef>
              <f>'_chart_data'!$A$89:$A$98</f>
            </numRef>
          </cat>
          <val>
            <numRef>
              <f>'_chart_data'!$C$89:$C$98</f>
            </numRef>
          </val>
        </ser>
        <ser>
          <idx val="2"/>
          <order val="2"/>
          <tx>
            <strRef>
              <f>'_chart_data'!D88</f>
            </strRef>
          </tx>
          <spPr>
            <a:solidFill xmlns:a="http://schemas.openxmlformats.org/drawingml/2006/main">
              <a:srgbClr val="D97706"/>
            </a:solidFill>
            <a:ln xmlns:a="http://schemas.openxmlformats.org/drawingml/2006/main">
              <a:prstDash val="solid"/>
            </a:ln>
          </spPr>
          <cat>
            <numRef>
              <f>'_chart_data'!$A$89:$A$98</f>
            </numRef>
          </cat>
          <val>
            <numRef>
              <f>'_chart_data'!$D$89:$D$98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Consumption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Material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Plant-wise Total Consumption by Financial Year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'_chart_data'!B103</f>
            </strRef>
          </tx>
          <spPr>
            <a:solidFill xmlns:a="http://schemas.openxmlformats.org/drawingml/2006/main">
              <a:srgbClr val="1A4A6B"/>
            </a:solidFill>
            <a:ln xmlns:a="http://schemas.openxmlformats.org/drawingml/2006/main">
              <a:prstDash val="solid"/>
            </a:ln>
          </spPr>
          <cat>
            <numRef>
              <f>'_chart_data'!$A$104:$A$124</f>
            </numRef>
          </cat>
          <val>
            <numRef>
              <f>'_chart_data'!$B$104:$B$124</f>
            </numRef>
          </val>
        </ser>
        <ser>
          <idx val="1"/>
          <order val="1"/>
          <tx>
            <strRef>
              <f>'_chart_data'!C103</f>
            </strRef>
          </tx>
          <spPr>
            <a:solidFill xmlns:a="http://schemas.openxmlformats.org/drawingml/2006/main">
              <a:srgbClr val="2E8B6E"/>
            </a:solidFill>
            <a:ln xmlns:a="http://schemas.openxmlformats.org/drawingml/2006/main">
              <a:prstDash val="solid"/>
            </a:ln>
          </spPr>
          <cat>
            <numRef>
              <f>'_chart_data'!$A$104:$A$124</f>
            </numRef>
          </cat>
          <val>
            <numRef>
              <f>'_chart_data'!$C$104:$C$124</f>
            </numRef>
          </val>
        </ser>
        <ser>
          <idx val="2"/>
          <order val="2"/>
          <tx>
            <strRef>
              <f>'_chart_data'!D103</f>
            </strRef>
          </tx>
          <spPr>
            <a:solidFill xmlns:a="http://schemas.openxmlformats.org/drawingml/2006/main">
              <a:srgbClr val="D97706"/>
            </a:solidFill>
            <a:ln xmlns:a="http://schemas.openxmlformats.org/drawingml/2006/main">
              <a:prstDash val="solid"/>
            </a:ln>
          </spPr>
          <cat>
            <numRef>
              <f>'_chart_data'!$A$104:$A$124</f>
            </numRef>
          </cat>
          <val>
            <numRef>
              <f>'_chart_data'!$D$104:$D$124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Consumption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Reporting Plant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720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3</row>
      <rowOff>0</rowOff>
    </from>
    <ext cx="7200000" cy="46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27</row>
      <rowOff>0</rowOff>
    </from>
    <ext cx="7200000" cy="46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11</col>
      <colOff>0</colOff>
      <row>27</row>
      <rowOff>0</rowOff>
    </from>
    <ext cx="7200000" cy="46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51</row>
      <rowOff>0</rowOff>
    </from>
    <ext cx="7200000" cy="46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11</col>
      <colOff>0</colOff>
      <row>51</row>
      <rowOff>0</rowOff>
    </from>
    <ext cx="7920000" cy="54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52" customWidth="1" min="3" max="3"/>
    <col width="40" customWidth="1" min="4" max="4"/>
    <col width="12" customWidth="1" min="5" max="5"/>
    <col width="14" customWidth="1" min="6" max="6"/>
  </cols>
  <sheetData>
    <row r="1" ht="28" customHeight="1">
      <c r="A1" s="1" t="inlineStr">
        <is>
          <t>ONGC Material Intelligence — Plant to Forecast Unit Mapping  |  Shore Warehouse → Offshore Platforms / Onshore Assets</t>
        </is>
      </c>
    </row>
    <row r="2" ht="18" customHeight="1">
      <c r="A2" s="2" t="inlineStr">
        <is>
          <t>Consumption at sub-plants is aggregated into the parent forecast unit.  Forecasting and procurement decisions are made at the forecast unit level.</t>
        </is>
      </c>
    </row>
    <row r="3" ht="26" customHeight="1">
      <c r="A3" s="3" t="inlineStr">
        <is>
          <t>Forecast Unit</t>
        </is>
      </c>
      <c r="B3" s="3" t="inlineStr">
        <is>
          <t>Type</t>
        </is>
      </c>
      <c r="C3" s="3" t="inlineStr">
        <is>
          <t>Description</t>
        </is>
      </c>
      <c r="D3" s="3" t="inlineStr">
        <is>
          <t>Rolled-up Sub-plants</t>
        </is>
      </c>
      <c r="E3" s="3" t="inlineStr">
        <is>
          <t># Sub-plants</t>
        </is>
      </c>
      <c r="F3" s="3" t="inlineStr">
        <is>
          <t>Active in Data</t>
        </is>
      </c>
    </row>
    <row r="4" ht="36" customHeight="1">
      <c r="A4" s="4" t="inlineStr">
        <is>
          <t>11A1 — Mumbai High North</t>
        </is>
      </c>
      <c r="B4" s="5" t="inlineStr">
        <is>
          <t>Offshore — Shore Base</t>
        </is>
      </c>
      <c r="C4" s="5" t="inlineStr">
        <is>
          <t>UT Offshore — Mumbai High North  (ICP / SHP / BHS / MHN / NQO + Sagar Samrat)</t>
        </is>
      </c>
      <c r="D4" s="5" t="inlineStr">
        <is>
          <t>11F1, 11F2, 11F3, 11F4, 11F5, 11F9, 11FA</t>
        </is>
      </c>
      <c r="E4" s="6" t="n">
        <v>8</v>
      </c>
      <c r="F4" s="6" t="inlineStr">
        <is>
          <t>Yes</t>
        </is>
      </c>
    </row>
    <row r="5" ht="36" customHeight="1">
      <c r="A5" s="4" t="inlineStr">
        <is>
          <t>12A1 — Heera / Ratna</t>
        </is>
      </c>
      <c r="B5" s="7" t="inlineStr">
        <is>
          <t>Offshore — Shore Base</t>
        </is>
      </c>
      <c r="C5" s="7" t="inlineStr">
        <is>
          <t>UT Offshore — Heera / Ratna &amp; R-Series</t>
        </is>
      </c>
      <c r="D5" s="7" t="inlineStr">
        <is>
          <t>12F1, 12F5</t>
        </is>
      </c>
      <c r="E5" s="8" t="n">
        <v>3</v>
      </c>
      <c r="F5" s="8" t="inlineStr">
        <is>
          <t>Yes</t>
        </is>
      </c>
    </row>
    <row r="6" ht="36" customHeight="1">
      <c r="A6" s="4" t="inlineStr">
        <is>
          <t>13A1 — Mumbai High South</t>
        </is>
      </c>
      <c r="B6" s="5" t="inlineStr">
        <is>
          <t>Offshore — Shore Base</t>
        </is>
      </c>
      <c r="C6" s="5" t="inlineStr">
        <is>
          <t>UT Offshore — Mumbai High South  (SBS / NQS / MHS / HDP)</t>
        </is>
      </c>
      <c r="D6" s="5" t="inlineStr">
        <is>
          <t>13F1, 13F2, 13F3, 13F9, 13FB, 13FC, 13U9</t>
        </is>
      </c>
      <c r="E6" s="6" t="n">
        <v>8</v>
      </c>
      <c r="F6" s="6" t="inlineStr">
        <is>
          <t>Yes</t>
        </is>
      </c>
    </row>
    <row r="7" ht="36" customHeight="1">
      <c r="A7" s="4" t="inlineStr">
        <is>
          <t>22A1 — Ahmedabad / Ankleshwar</t>
        </is>
      </c>
      <c r="B7" s="7" t="inlineStr">
        <is>
          <t>Onshore</t>
        </is>
      </c>
      <c r="C7" s="7" t="inlineStr">
        <is>
          <t>Onshore — Ahmedabad / Ankleshwar Asset</t>
        </is>
      </c>
      <c r="D7" s="7" t="inlineStr">
        <is>
          <t>22W1</t>
        </is>
      </c>
      <c r="E7" s="8" t="n">
        <v>2</v>
      </c>
      <c r="F7" s="8" t="inlineStr">
        <is>
          <t>Yes</t>
        </is>
      </c>
    </row>
    <row r="8" ht="36" customHeight="1">
      <c r="A8" s="4" t="inlineStr">
        <is>
          <t>25A1 — Rajasthan</t>
        </is>
      </c>
      <c r="B8" s="5" t="inlineStr">
        <is>
          <t>Onshore</t>
        </is>
      </c>
      <c r="C8" s="5" t="inlineStr">
        <is>
          <t>Onshore — Rajasthan Asset</t>
        </is>
      </c>
      <c r="D8" s="5" t="inlineStr">
        <is>
          <t>25W1</t>
        </is>
      </c>
      <c r="E8" s="6" t="n">
        <v>2</v>
      </c>
      <c r="F8" s="6" t="inlineStr">
        <is>
          <t>Yes</t>
        </is>
      </c>
    </row>
    <row r="9" ht="36" customHeight="1">
      <c r="A9" s="4" t="inlineStr">
        <is>
          <t>50A1 — Tripura</t>
        </is>
      </c>
      <c r="B9" s="7" t="inlineStr">
        <is>
          <t>Onshore</t>
        </is>
      </c>
      <c r="C9" s="7" t="inlineStr">
        <is>
          <t>Onshore — Tripura Asset</t>
        </is>
      </c>
      <c r="D9" s="7" t="inlineStr">
        <is>
          <t>50W1</t>
        </is>
      </c>
      <c r="E9" s="8" t="n">
        <v>2</v>
      </c>
      <c r="F9" s="8" t="inlineStr">
        <is>
          <t>Yes</t>
        </is>
      </c>
    </row>
    <row r="10" ht="36" customHeight="1">
      <c r="A10" s="4" t="inlineStr">
        <is>
          <t>51A1 — Assam</t>
        </is>
      </c>
      <c r="B10" s="5" t="inlineStr">
        <is>
          <t>Onshore</t>
        </is>
      </c>
      <c r="C10" s="5" t="inlineStr">
        <is>
          <t>Onshore — Assam Asset</t>
        </is>
      </c>
      <c r="D10" s="5" t="inlineStr">
        <is>
          <t>51W1</t>
        </is>
      </c>
      <c r="E10" s="6" t="n">
        <v>2</v>
      </c>
      <c r="F10" s="6" t="inlineStr">
        <is>
          <t>Yes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28" customHeight="1">
      <c r="A1" s="1" t="inlineStr">
        <is>
          <t>Material Intelligence — Data Quality Summary  |  All Financial Years</t>
        </is>
      </c>
    </row>
    <row r="2" ht="18" customHeight="1">
      <c r="A2" s="2" t="inlineStr">
        <is>
          <t>Movements included: 201 + 221 + 261 (net of reversals 202 / 222 / 262)  |  All sub-plant consumption aggregated to forecast unit level</t>
        </is>
      </c>
    </row>
    <row r="3" ht="26" customHeight="1">
      <c r="A3" s="3" t="inlineStr">
        <is>
          <t>Material</t>
        </is>
      </c>
      <c r="B3" s="3" t="inlineStr">
        <is>
          <t>Material Code</t>
        </is>
      </c>
      <c r="C3" s="3" t="inlineStr">
        <is>
          <t>UoM</t>
        </is>
      </c>
      <c r="D3" s="3" t="inlineStr">
        <is>
          <t>Active Months</t>
        </is>
      </c>
      <c r="E3" s="3" t="inlineStr">
        <is>
          <t>Zero Months</t>
        </is>
      </c>
      <c r="F3" s="3" t="inlineStr">
        <is>
          <t>Total Months</t>
        </is>
      </c>
      <c r="G3" s="3" t="inlineStr">
        <is>
          <t>% Active</t>
        </is>
      </c>
      <c r="H3" s="3" t="inlineStr">
        <is>
          <t>Total Consumption</t>
        </is>
      </c>
      <c r="I3" s="3" t="inlineStr">
        <is>
          <t>Avg Monthly</t>
        </is>
      </c>
      <c r="J3" s="3" t="inlineStr">
        <is>
          <t>Peak Month</t>
        </is>
      </c>
      <c r="K3" s="3" t="inlineStr">
        <is>
          <t>Std Dev</t>
        </is>
      </c>
      <c r="L3" s="3" t="inlineStr">
        <is>
          <t>CV</t>
        </is>
      </c>
      <c r="M3" s="3" t="inlineStr">
        <is>
          <t>Volatility</t>
        </is>
      </c>
      <c r="N3" s="3" t="inlineStr">
        <is>
          <t>First Active</t>
        </is>
      </c>
      <c r="O3" s="3" t="inlineStr">
        <is>
          <t>Last Active</t>
        </is>
      </c>
    </row>
    <row r="4" ht="20" customHeight="1">
      <c r="A4" s="9" t="inlineStr">
        <is>
          <t>XYLENE</t>
        </is>
      </c>
      <c r="B4" s="6" t="n">
        <v>100217003</v>
      </c>
      <c r="C4" s="6" t="inlineStr">
        <is>
          <t>L</t>
        </is>
      </c>
      <c r="D4" s="6" t="n">
        <v>36</v>
      </c>
      <c r="E4" s="6" t="n">
        <v>0</v>
      </c>
      <c r="F4" s="6" t="n">
        <v>36</v>
      </c>
      <c r="G4" s="10" t="n">
        <v>100</v>
      </c>
      <c r="H4" s="11" t="n">
        <v>-12243372</v>
      </c>
      <c r="I4" s="11" t="n">
        <v>340094</v>
      </c>
      <c r="J4" s="11" t="n">
        <v>880801</v>
      </c>
      <c r="K4" s="11" t="n">
        <v>153309</v>
      </c>
      <c r="L4" s="12" t="n">
        <v>0.45</v>
      </c>
      <c r="M4" s="13" t="inlineStr">
        <is>
          <t>Low</t>
        </is>
      </c>
      <c r="N4" s="6" t="inlineStr">
        <is>
          <t>Apr-2023</t>
        </is>
      </c>
      <c r="O4" s="6" t="inlineStr">
        <is>
          <t>Mar-2026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 ht="28" customHeight="1">
      <c r="A1" s="1" t="inlineStr">
        <is>
          <t>Material Intelligence — Monthly Consumption Pivot  |  Materials × Apr-2023 to Mar-2026  |  Rollup applied</t>
        </is>
      </c>
    </row>
    <row r="2" ht="18" customHeight="1">
      <c r="A2" s="2" t="inlineStr">
        <is>
          <t>Sub-plant consumption rolled up to forecast-unit level.  Zeros included for months with no recorded movement.</t>
        </is>
      </c>
    </row>
    <row r="3" ht="22" customHeight="1">
      <c r="A3" s="3" t="inlineStr">
        <is>
          <t>Forecast Unit</t>
        </is>
      </c>
      <c r="B3" s="3" t="inlineStr">
        <is>
          <t>FY Summary Totals</t>
        </is>
      </c>
      <c r="F3" s="3" t="inlineStr">
        <is>
          <t>FY23-24  (Apr-2023 – Mar-2024)</t>
        </is>
      </c>
      <c r="R3" s="3" t="inlineStr">
        <is>
          <t>FY24-25  (Apr-2024 – Mar-2025)</t>
        </is>
      </c>
      <c r="AD3" s="3" t="inlineStr">
        <is>
          <t>FY25-26  (Apr-2025 – Mar-2026)</t>
        </is>
      </c>
    </row>
    <row r="4" ht="26" customHeight="1">
      <c r="A4" s="14" t="inlineStr">
        <is>
          <t>Material</t>
        </is>
      </c>
      <c r="B4" s="14" t="inlineStr">
        <is>
          <t>FY 25-26 Total</t>
        </is>
      </c>
      <c r="C4" s="14" t="inlineStr">
        <is>
          <t>FY 24-25 Total</t>
        </is>
      </c>
      <c r="D4" s="14" t="inlineStr">
        <is>
          <t>FY 23-24 Total</t>
        </is>
      </c>
      <c r="E4" s="14" t="inlineStr">
        <is>
          <t>All-Year Total</t>
        </is>
      </c>
      <c r="F4" s="14" t="inlineStr">
        <is>
          <t>Apr-2023</t>
        </is>
      </c>
      <c r="G4" s="14" t="inlineStr">
        <is>
          <t>May-2023</t>
        </is>
      </c>
      <c r="H4" s="14" t="inlineStr">
        <is>
          <t>Jun-2023</t>
        </is>
      </c>
      <c r="I4" s="14" t="inlineStr">
        <is>
          <t>Jul-2023</t>
        </is>
      </c>
      <c r="J4" s="14" t="inlineStr">
        <is>
          <t>Aug-2023</t>
        </is>
      </c>
      <c r="K4" s="14" t="inlineStr">
        <is>
          <t>Sep-2023</t>
        </is>
      </c>
      <c r="L4" s="14" t="inlineStr">
        <is>
          <t>Oct-2023</t>
        </is>
      </c>
      <c r="M4" s="14" t="inlineStr">
        <is>
          <t>Nov-2023</t>
        </is>
      </c>
      <c r="N4" s="14" t="inlineStr">
        <is>
          <t>Dec-2023</t>
        </is>
      </c>
      <c r="O4" s="14" t="inlineStr">
        <is>
          <t>Jan-2024</t>
        </is>
      </c>
      <c r="P4" s="14" t="inlineStr">
        <is>
          <t>Feb-2024</t>
        </is>
      </c>
      <c r="Q4" s="14" t="inlineStr">
        <is>
          <t>Mar-2024</t>
        </is>
      </c>
      <c r="R4" s="14" t="inlineStr">
        <is>
          <t>Apr-2024</t>
        </is>
      </c>
      <c r="S4" s="14" t="inlineStr">
        <is>
          <t>May-2024</t>
        </is>
      </c>
      <c r="T4" s="14" t="inlineStr">
        <is>
          <t>Jun-2024</t>
        </is>
      </c>
      <c r="U4" s="14" t="inlineStr">
        <is>
          <t>Jul-2024</t>
        </is>
      </c>
      <c r="V4" s="14" t="inlineStr">
        <is>
          <t>Aug-2024</t>
        </is>
      </c>
      <c r="W4" s="14" t="inlineStr">
        <is>
          <t>Sep-2024</t>
        </is>
      </c>
      <c r="X4" s="14" t="inlineStr">
        <is>
          <t>Oct-2024</t>
        </is>
      </c>
      <c r="Y4" s="14" t="inlineStr">
        <is>
          <t>Nov-2024</t>
        </is>
      </c>
      <c r="Z4" s="14" t="inlineStr">
        <is>
          <t>Dec-2024</t>
        </is>
      </c>
      <c r="AA4" s="14" t="inlineStr">
        <is>
          <t>Jan-2025</t>
        </is>
      </c>
      <c r="AB4" s="14" t="inlineStr">
        <is>
          <t>Feb-2025</t>
        </is>
      </c>
      <c r="AC4" s="14" t="inlineStr">
        <is>
          <t>Mar-2025</t>
        </is>
      </c>
      <c r="AD4" s="14" t="inlineStr">
        <is>
          <t>Apr-2025</t>
        </is>
      </c>
      <c r="AE4" s="14" t="inlineStr">
        <is>
          <t>May-2025</t>
        </is>
      </c>
      <c r="AF4" s="14" t="inlineStr">
        <is>
          <t>Jun-2025</t>
        </is>
      </c>
      <c r="AG4" s="14" t="inlineStr">
        <is>
          <t>Jul-2025</t>
        </is>
      </c>
      <c r="AH4" s="14" t="inlineStr">
        <is>
          <t>Aug-2025</t>
        </is>
      </c>
      <c r="AI4" s="14" t="inlineStr">
        <is>
          <t>Sep-2025</t>
        </is>
      </c>
      <c r="AJ4" s="14" t="inlineStr">
        <is>
          <t>Oct-2025</t>
        </is>
      </c>
      <c r="AK4" s="14" t="inlineStr">
        <is>
          <t>Nov-2025</t>
        </is>
      </c>
      <c r="AL4" s="14" t="inlineStr">
        <is>
          <t>Dec-2025</t>
        </is>
      </c>
      <c r="AM4" s="14" t="inlineStr">
        <is>
          <t>Jan-2026</t>
        </is>
      </c>
      <c r="AN4" s="14" t="inlineStr">
        <is>
          <t>Feb-2026</t>
        </is>
      </c>
      <c r="AO4" s="14" t="inlineStr">
        <is>
          <t>Mar-2026</t>
        </is>
      </c>
    </row>
    <row r="5" ht="20" customHeight="1">
      <c r="A5" s="9" t="inlineStr">
        <is>
          <t>XYLENE</t>
        </is>
      </c>
      <c r="B5" s="15" t="n">
        <v>-3884427</v>
      </c>
      <c r="C5" s="15" t="n">
        <v>-4477991</v>
      </c>
      <c r="D5" s="15" t="n">
        <v>-3880954</v>
      </c>
      <c r="E5" s="16" t="n">
        <v>-12243372</v>
      </c>
      <c r="F5" s="17" t="n">
        <v>-138920</v>
      </c>
      <c r="G5" s="17" t="n">
        <v>-186580</v>
      </c>
      <c r="H5" s="17" t="n">
        <v>-163550</v>
      </c>
      <c r="I5" s="17" t="n">
        <v>-277882</v>
      </c>
      <c r="J5" s="17" t="n">
        <v>-290640</v>
      </c>
      <c r="K5" s="17" t="n">
        <v>-277658</v>
      </c>
      <c r="L5" s="17" t="n">
        <v>-253376</v>
      </c>
      <c r="M5" s="17" t="n">
        <v>-357820</v>
      </c>
      <c r="N5" s="17" t="n">
        <v>-435158</v>
      </c>
      <c r="O5" s="17" t="n">
        <v>-450596</v>
      </c>
      <c r="P5" s="17" t="n">
        <v>-482260</v>
      </c>
      <c r="Q5" s="17" t="n">
        <v>-566514</v>
      </c>
      <c r="R5" s="17" t="n">
        <v>-308235</v>
      </c>
      <c r="S5" s="17" t="n">
        <v>-305282</v>
      </c>
      <c r="T5" s="17" t="n">
        <v>-317044</v>
      </c>
      <c r="U5" s="17" t="n">
        <v>-423669</v>
      </c>
      <c r="V5" s="17" t="n">
        <v>-326835</v>
      </c>
      <c r="W5" s="17" t="n">
        <v>-372750</v>
      </c>
      <c r="X5" s="17" t="n">
        <v>-416923</v>
      </c>
      <c r="Y5" s="17" t="n">
        <v>-189620</v>
      </c>
      <c r="Z5" s="17" t="n">
        <v>-177653</v>
      </c>
      <c r="AA5" s="17" t="n">
        <v>-571300</v>
      </c>
      <c r="AB5" s="17" t="n">
        <v>-506200</v>
      </c>
      <c r="AC5" s="17" t="n">
        <v>-562480</v>
      </c>
      <c r="AD5" s="17" t="n">
        <v>-392450</v>
      </c>
      <c r="AE5" s="17" t="n">
        <v>-325250</v>
      </c>
      <c r="AF5" s="17" t="n">
        <v>-291000</v>
      </c>
      <c r="AG5" s="17" t="n">
        <v>-319575</v>
      </c>
      <c r="AH5" s="17" t="n">
        <v>-257732</v>
      </c>
      <c r="AI5" s="17" t="n">
        <v>-392773</v>
      </c>
      <c r="AJ5" s="17" t="n">
        <v>-220268</v>
      </c>
      <c r="AK5" s="17" t="n">
        <v>-368299</v>
      </c>
      <c r="AL5" s="17" t="n">
        <v>-880801</v>
      </c>
      <c r="AM5" s="17" t="n">
        <v>-175152</v>
      </c>
      <c r="AN5" s="17" t="n">
        <v>-184627</v>
      </c>
      <c r="AO5" s="17" t="n">
        <v>-76500</v>
      </c>
    </row>
  </sheetData>
  <mergeCells count="6">
    <mergeCell ref="A2:AO2"/>
    <mergeCell ref="R3:AC3"/>
    <mergeCell ref="A1:AO1"/>
    <mergeCell ref="B3:E3"/>
    <mergeCell ref="F3:Q3"/>
    <mergeCell ref="AD3:AO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2" customWidth="1" min="3" max="3"/>
    <col width="10" customWidth="1" min="4" max="4"/>
    <col width="10" customWidth="1" min="5" max="5"/>
    <col width="14" customWidth="1" min="6" max="6"/>
    <col width="14" customWidth="1" min="7" max="7"/>
    <col width="8" customWidth="1" min="8" max="8"/>
  </cols>
  <sheetData>
    <row r="1" ht="28" customHeight="1">
      <c r="A1" s="1" t="inlineStr">
        <is>
          <t>Material Intelligence — Stitched Long-Format Dataset  |  Forecast pipeline input  |  Rollup applied</t>
        </is>
      </c>
    </row>
    <row r="2" ht="18" customHeight="1">
      <c r="A2" s="2" t="inlineStr">
        <is>
          <t>One row per material per month.  Zero-filled months included (SAP suppresses zero-consumption months).  Source column traces data provenance.</t>
        </is>
      </c>
    </row>
    <row r="3" ht="26" customHeight="1">
      <c r="A3" s="3" t="inlineStr">
        <is>
          <t>Material</t>
        </is>
      </c>
      <c r="B3" s="3" t="inlineStr">
        <is>
          <t>Material Code</t>
        </is>
      </c>
      <c r="C3" s="3" t="inlineStr">
        <is>
          <t>Date</t>
        </is>
      </c>
      <c r="D3" s="3" t="inlineStr">
        <is>
          <t>Month</t>
        </is>
      </c>
      <c r="E3" s="3" t="inlineStr">
        <is>
          <t>Financial Year</t>
        </is>
      </c>
      <c r="F3" s="3" t="inlineStr">
        <is>
          <t>Consumption</t>
        </is>
      </c>
      <c r="G3" s="3" t="inlineStr">
        <is>
          <t>Value (INR)</t>
        </is>
      </c>
      <c r="H3" s="3" t="inlineStr">
        <is>
          <t>UoM</t>
        </is>
      </c>
    </row>
    <row r="4" ht="15" customHeight="1">
      <c r="A4" s="18" t="inlineStr">
        <is>
          <t>XYLENE</t>
        </is>
      </c>
      <c r="B4" s="19" t="inlineStr">
        <is>
          <t>100217003</t>
        </is>
      </c>
      <c r="C4" s="20" t="inlineStr">
        <is>
          <t>2023-04-01</t>
        </is>
      </c>
      <c r="D4" s="20" t="inlineStr">
        <is>
          <t>Apr-2023</t>
        </is>
      </c>
      <c r="E4" s="20" t="inlineStr">
        <is>
          <t>FY23-24</t>
        </is>
      </c>
      <c r="F4" s="21" t="n">
        <v>-138920</v>
      </c>
      <c r="G4" s="21" t="n">
        <v>0</v>
      </c>
      <c r="H4" s="20" t="inlineStr">
        <is>
          <t>L</t>
        </is>
      </c>
    </row>
    <row r="5" ht="15" customHeight="1">
      <c r="A5" s="18" t="inlineStr">
        <is>
          <t>XYLENE</t>
        </is>
      </c>
      <c r="B5" s="22" t="inlineStr">
        <is>
          <t>100217003</t>
        </is>
      </c>
      <c r="C5" s="23" t="inlineStr">
        <is>
          <t>2023-05-01</t>
        </is>
      </c>
      <c r="D5" s="23" t="inlineStr">
        <is>
          <t>May-2023</t>
        </is>
      </c>
      <c r="E5" s="23" t="inlineStr">
        <is>
          <t>FY23-24</t>
        </is>
      </c>
      <c r="F5" s="24" t="n">
        <v>-186580</v>
      </c>
      <c r="G5" s="24" t="n">
        <v>0</v>
      </c>
      <c r="H5" s="23" t="inlineStr">
        <is>
          <t>L</t>
        </is>
      </c>
    </row>
    <row r="6" ht="15" customHeight="1">
      <c r="A6" s="18" t="inlineStr">
        <is>
          <t>XYLENE</t>
        </is>
      </c>
      <c r="B6" s="19" t="inlineStr">
        <is>
          <t>100217003</t>
        </is>
      </c>
      <c r="C6" s="20" t="inlineStr">
        <is>
          <t>2023-06-01</t>
        </is>
      </c>
      <c r="D6" s="20" t="inlineStr">
        <is>
          <t>Jun-2023</t>
        </is>
      </c>
      <c r="E6" s="20" t="inlineStr">
        <is>
          <t>FY23-24</t>
        </is>
      </c>
      <c r="F6" s="21" t="n">
        <v>-163550</v>
      </c>
      <c r="G6" s="21" t="n">
        <v>0</v>
      </c>
      <c r="H6" s="20" t="inlineStr">
        <is>
          <t>L</t>
        </is>
      </c>
    </row>
    <row r="7" ht="15" customHeight="1">
      <c r="A7" s="18" t="inlineStr">
        <is>
          <t>XYLENE</t>
        </is>
      </c>
      <c r="B7" s="22" t="inlineStr">
        <is>
          <t>100217003</t>
        </is>
      </c>
      <c r="C7" s="23" t="inlineStr">
        <is>
          <t>2023-07-01</t>
        </is>
      </c>
      <c r="D7" s="23" t="inlineStr">
        <is>
          <t>Jul-2023</t>
        </is>
      </c>
      <c r="E7" s="23" t="inlineStr">
        <is>
          <t>FY23-24</t>
        </is>
      </c>
      <c r="F7" s="24" t="n">
        <v>-277882.42</v>
      </c>
      <c r="G7" s="24" t="n">
        <v>0</v>
      </c>
      <c r="H7" s="23" t="inlineStr">
        <is>
          <t>L</t>
        </is>
      </c>
    </row>
    <row r="8" ht="15" customHeight="1">
      <c r="A8" s="18" t="inlineStr">
        <is>
          <t>XYLENE</t>
        </is>
      </c>
      <c r="B8" s="19" t="inlineStr">
        <is>
          <t>100217003</t>
        </is>
      </c>
      <c r="C8" s="20" t="inlineStr">
        <is>
          <t>2023-08-01</t>
        </is>
      </c>
      <c r="D8" s="20" t="inlineStr">
        <is>
          <t>Aug-2023</t>
        </is>
      </c>
      <c r="E8" s="20" t="inlineStr">
        <is>
          <t>FY23-24</t>
        </is>
      </c>
      <c r="F8" s="21" t="n">
        <v>-290640</v>
      </c>
      <c r="G8" s="21" t="n">
        <v>0</v>
      </c>
      <c r="H8" s="20" t="inlineStr">
        <is>
          <t>L</t>
        </is>
      </c>
    </row>
    <row r="9" ht="15" customHeight="1">
      <c r="A9" s="18" t="inlineStr">
        <is>
          <t>XYLENE</t>
        </is>
      </c>
      <c r="B9" s="22" t="inlineStr">
        <is>
          <t>100217003</t>
        </is>
      </c>
      <c r="C9" s="23" t="inlineStr">
        <is>
          <t>2023-09-01</t>
        </is>
      </c>
      <c r="D9" s="23" t="inlineStr">
        <is>
          <t>Sep-2023</t>
        </is>
      </c>
      <c r="E9" s="23" t="inlineStr">
        <is>
          <t>FY23-24</t>
        </is>
      </c>
      <c r="F9" s="24" t="n">
        <v>-277657.5</v>
      </c>
      <c r="G9" s="24" t="n">
        <v>0</v>
      </c>
      <c r="H9" s="23" t="inlineStr">
        <is>
          <t>L</t>
        </is>
      </c>
    </row>
    <row r="10" ht="15" customHeight="1">
      <c r="A10" s="18" t="inlineStr">
        <is>
          <t>XYLENE</t>
        </is>
      </c>
      <c r="B10" s="19" t="inlineStr">
        <is>
          <t>100217003</t>
        </is>
      </c>
      <c r="C10" s="20" t="inlineStr">
        <is>
          <t>2023-10-01</t>
        </is>
      </c>
      <c r="D10" s="20" t="inlineStr">
        <is>
          <t>Oct-2023</t>
        </is>
      </c>
      <c r="E10" s="20" t="inlineStr">
        <is>
          <t>FY23-24</t>
        </is>
      </c>
      <c r="F10" s="21" t="n">
        <v>-253376.4</v>
      </c>
      <c r="G10" s="21" t="n">
        <v>0</v>
      </c>
      <c r="H10" s="20" t="inlineStr">
        <is>
          <t>L</t>
        </is>
      </c>
    </row>
    <row r="11" ht="15" customHeight="1">
      <c r="A11" s="18" t="inlineStr">
        <is>
          <t>XYLENE</t>
        </is>
      </c>
      <c r="B11" s="22" t="inlineStr">
        <is>
          <t>100217003</t>
        </is>
      </c>
      <c r="C11" s="23" t="inlineStr">
        <is>
          <t>2023-11-01</t>
        </is>
      </c>
      <c r="D11" s="23" t="inlineStr">
        <is>
          <t>Nov-2023</t>
        </is>
      </c>
      <c r="E11" s="23" t="inlineStr">
        <is>
          <t>FY23-24</t>
        </is>
      </c>
      <c r="F11" s="24" t="n">
        <v>-357820</v>
      </c>
      <c r="G11" s="24" t="n">
        <v>0</v>
      </c>
      <c r="H11" s="23" t="inlineStr">
        <is>
          <t>L</t>
        </is>
      </c>
    </row>
    <row r="12" ht="15" customHeight="1">
      <c r="A12" s="18" t="inlineStr">
        <is>
          <t>XYLENE</t>
        </is>
      </c>
      <c r="B12" s="19" t="inlineStr">
        <is>
          <t>100217003</t>
        </is>
      </c>
      <c r="C12" s="20" t="inlineStr">
        <is>
          <t>2023-12-01</t>
        </is>
      </c>
      <c r="D12" s="20" t="inlineStr">
        <is>
          <t>Dec-2023</t>
        </is>
      </c>
      <c r="E12" s="20" t="inlineStr">
        <is>
          <t>FY23-24</t>
        </is>
      </c>
      <c r="F12" s="21" t="n">
        <v>-435158</v>
      </c>
      <c r="G12" s="21" t="n">
        <v>0</v>
      </c>
      <c r="H12" s="20" t="inlineStr">
        <is>
          <t>L</t>
        </is>
      </c>
    </row>
    <row r="13" ht="15" customHeight="1">
      <c r="A13" s="18" t="inlineStr">
        <is>
          <t>XYLENE</t>
        </is>
      </c>
      <c r="B13" s="22" t="inlineStr">
        <is>
          <t>100217003</t>
        </is>
      </c>
      <c r="C13" s="23" t="inlineStr">
        <is>
          <t>2024-01-01</t>
        </is>
      </c>
      <c r="D13" s="23" t="inlineStr">
        <is>
          <t>Jan-2024</t>
        </is>
      </c>
      <c r="E13" s="23" t="inlineStr">
        <is>
          <t>FY23-24</t>
        </is>
      </c>
      <c r="F13" s="24" t="n">
        <v>-450596</v>
      </c>
      <c r="G13" s="24" t="n">
        <v>0</v>
      </c>
      <c r="H13" s="23" t="inlineStr">
        <is>
          <t>L</t>
        </is>
      </c>
    </row>
    <row r="14" ht="15" customHeight="1">
      <c r="A14" s="18" t="inlineStr">
        <is>
          <t>XYLENE</t>
        </is>
      </c>
      <c r="B14" s="19" t="inlineStr">
        <is>
          <t>100217003</t>
        </is>
      </c>
      <c r="C14" s="20" t="inlineStr">
        <is>
          <t>2024-02-01</t>
        </is>
      </c>
      <c r="D14" s="20" t="inlineStr">
        <is>
          <t>Feb-2024</t>
        </is>
      </c>
      <c r="E14" s="20" t="inlineStr">
        <is>
          <t>FY23-24</t>
        </is>
      </c>
      <c r="F14" s="21" t="n">
        <v>-482260.24</v>
      </c>
      <c r="G14" s="21" t="n">
        <v>0</v>
      </c>
      <c r="H14" s="20" t="inlineStr">
        <is>
          <t>L</t>
        </is>
      </c>
    </row>
    <row r="15" ht="15" customHeight="1">
      <c r="A15" s="18" t="inlineStr">
        <is>
          <t>XYLENE</t>
        </is>
      </c>
      <c r="B15" s="22" t="inlineStr">
        <is>
          <t>100217003</t>
        </is>
      </c>
      <c r="C15" s="23" t="inlineStr">
        <is>
          <t>2024-03-01</t>
        </is>
      </c>
      <c r="D15" s="23" t="inlineStr">
        <is>
          <t>Mar-2024</t>
        </is>
      </c>
      <c r="E15" s="23" t="inlineStr">
        <is>
          <t>FY23-24</t>
        </is>
      </c>
      <c r="F15" s="24" t="n">
        <v>-566513.6</v>
      </c>
      <c r="G15" s="24" t="n">
        <v>0</v>
      </c>
      <c r="H15" s="23" t="inlineStr">
        <is>
          <t>L</t>
        </is>
      </c>
    </row>
    <row r="16" ht="15" customHeight="1">
      <c r="A16" s="18" t="inlineStr">
        <is>
          <t>XYLENE</t>
        </is>
      </c>
      <c r="B16" s="19" t="inlineStr">
        <is>
          <t>100217003</t>
        </is>
      </c>
      <c r="C16" s="20" t="inlineStr">
        <is>
          <t>2024-04-01</t>
        </is>
      </c>
      <c r="D16" s="20" t="inlineStr">
        <is>
          <t>Apr-2024</t>
        </is>
      </c>
      <c r="E16" s="20" t="inlineStr">
        <is>
          <t>FY24-25</t>
        </is>
      </c>
      <c r="F16" s="21" t="n">
        <v>-308234.6</v>
      </c>
      <c r="G16" s="21" t="n">
        <v>0</v>
      </c>
      <c r="H16" s="20" t="inlineStr">
        <is>
          <t>L</t>
        </is>
      </c>
    </row>
    <row r="17" ht="15" customHeight="1">
      <c r="A17" s="18" t="inlineStr">
        <is>
          <t>XYLENE</t>
        </is>
      </c>
      <c r="B17" s="22" t="inlineStr">
        <is>
          <t>100217003</t>
        </is>
      </c>
      <c r="C17" s="23" t="inlineStr">
        <is>
          <t>2024-05-01</t>
        </is>
      </c>
      <c r="D17" s="23" t="inlineStr">
        <is>
          <t>May-2024</t>
        </is>
      </c>
      <c r="E17" s="23" t="inlineStr">
        <is>
          <t>FY24-25</t>
        </is>
      </c>
      <c r="F17" s="24" t="n">
        <v>-305281.76</v>
      </c>
      <c r="G17" s="24" t="n">
        <v>0</v>
      </c>
      <c r="H17" s="23" t="inlineStr">
        <is>
          <t>L</t>
        </is>
      </c>
    </row>
    <row r="18" ht="15" customHeight="1">
      <c r="A18" s="18" t="inlineStr">
        <is>
          <t>XYLENE</t>
        </is>
      </c>
      <c r="B18" s="19" t="inlineStr">
        <is>
          <t>100217003</t>
        </is>
      </c>
      <c r="C18" s="20" t="inlineStr">
        <is>
          <t>2024-06-01</t>
        </is>
      </c>
      <c r="D18" s="20" t="inlineStr">
        <is>
          <t>Jun-2024</t>
        </is>
      </c>
      <c r="E18" s="20" t="inlineStr">
        <is>
          <t>FY24-25</t>
        </is>
      </c>
      <c r="F18" s="21" t="n">
        <v>-317044.4</v>
      </c>
      <c r="G18" s="21" t="n">
        <v>0</v>
      </c>
      <c r="H18" s="20" t="inlineStr">
        <is>
          <t>L</t>
        </is>
      </c>
    </row>
    <row r="19" ht="15" customHeight="1">
      <c r="A19" s="18" t="inlineStr">
        <is>
          <t>XYLENE</t>
        </is>
      </c>
      <c r="B19" s="22" t="inlineStr">
        <is>
          <t>100217003</t>
        </is>
      </c>
      <c r="C19" s="23" t="inlineStr">
        <is>
          <t>2024-07-01</t>
        </is>
      </c>
      <c r="D19" s="23" t="inlineStr">
        <is>
          <t>Jul-2024</t>
        </is>
      </c>
      <c r="E19" s="23" t="inlineStr">
        <is>
          <t>FY24-25</t>
        </is>
      </c>
      <c r="F19" s="24" t="n">
        <v>-423669</v>
      </c>
      <c r="G19" s="24" t="n">
        <v>0</v>
      </c>
      <c r="H19" s="23" t="inlineStr">
        <is>
          <t>L</t>
        </is>
      </c>
    </row>
    <row r="20" ht="15" customHeight="1">
      <c r="A20" s="18" t="inlineStr">
        <is>
          <t>XYLENE</t>
        </is>
      </c>
      <c r="B20" s="19" t="inlineStr">
        <is>
          <t>100217003</t>
        </is>
      </c>
      <c r="C20" s="20" t="inlineStr">
        <is>
          <t>2024-08-01</t>
        </is>
      </c>
      <c r="D20" s="20" t="inlineStr">
        <is>
          <t>Aug-2024</t>
        </is>
      </c>
      <c r="E20" s="20" t="inlineStr">
        <is>
          <t>FY24-25</t>
        </is>
      </c>
      <c r="F20" s="21" t="n">
        <v>-326835</v>
      </c>
      <c r="G20" s="21" t="n">
        <v>0</v>
      </c>
      <c r="H20" s="20" t="inlineStr">
        <is>
          <t>L</t>
        </is>
      </c>
    </row>
    <row r="21" ht="15" customHeight="1">
      <c r="A21" s="18" t="inlineStr">
        <is>
          <t>XYLENE</t>
        </is>
      </c>
      <c r="B21" s="22" t="inlineStr">
        <is>
          <t>100217003</t>
        </is>
      </c>
      <c r="C21" s="23" t="inlineStr">
        <is>
          <t>2024-09-01</t>
        </is>
      </c>
      <c r="D21" s="23" t="inlineStr">
        <is>
          <t>Sep-2024</t>
        </is>
      </c>
      <c r="E21" s="23" t="inlineStr">
        <is>
          <t>FY24-25</t>
        </is>
      </c>
      <c r="F21" s="24" t="n">
        <v>-372750</v>
      </c>
      <c r="G21" s="24" t="n">
        <v>0</v>
      </c>
      <c r="H21" s="23" t="inlineStr">
        <is>
          <t>L</t>
        </is>
      </c>
    </row>
    <row r="22" ht="15" customHeight="1">
      <c r="A22" s="18" t="inlineStr">
        <is>
          <t>XYLENE</t>
        </is>
      </c>
      <c r="B22" s="19" t="inlineStr">
        <is>
          <t>100217003</t>
        </is>
      </c>
      <c r="C22" s="20" t="inlineStr">
        <is>
          <t>2024-10-01</t>
        </is>
      </c>
      <c r="D22" s="20" t="inlineStr">
        <is>
          <t>Oct-2024</t>
        </is>
      </c>
      <c r="E22" s="20" t="inlineStr">
        <is>
          <t>FY24-25</t>
        </is>
      </c>
      <c r="F22" s="21" t="n">
        <v>-416923.4</v>
      </c>
      <c r="G22" s="21" t="n">
        <v>0</v>
      </c>
      <c r="H22" s="20" t="inlineStr">
        <is>
          <t>L</t>
        </is>
      </c>
    </row>
    <row r="23" ht="15" customHeight="1">
      <c r="A23" s="18" t="inlineStr">
        <is>
          <t>XYLENE</t>
        </is>
      </c>
      <c r="B23" s="22" t="inlineStr">
        <is>
          <t>100217003</t>
        </is>
      </c>
      <c r="C23" s="23" t="inlineStr">
        <is>
          <t>2024-11-01</t>
        </is>
      </c>
      <c r="D23" s="23" t="inlineStr">
        <is>
          <t>Nov-2024</t>
        </is>
      </c>
      <c r="E23" s="23" t="inlineStr">
        <is>
          <t>FY24-25</t>
        </is>
      </c>
      <c r="F23" s="24" t="n">
        <v>-189620</v>
      </c>
      <c r="G23" s="24" t="n">
        <v>0</v>
      </c>
      <c r="H23" s="23" t="inlineStr">
        <is>
          <t>L</t>
        </is>
      </c>
    </row>
    <row r="24" ht="15" customHeight="1">
      <c r="A24" s="18" t="inlineStr">
        <is>
          <t>XYLENE</t>
        </is>
      </c>
      <c r="B24" s="19" t="inlineStr">
        <is>
          <t>100217003</t>
        </is>
      </c>
      <c r="C24" s="20" t="inlineStr">
        <is>
          <t>2024-12-01</t>
        </is>
      </c>
      <c r="D24" s="20" t="inlineStr">
        <is>
          <t>Dec-2024</t>
        </is>
      </c>
      <c r="E24" s="20" t="inlineStr">
        <is>
          <t>FY24-25</t>
        </is>
      </c>
      <c r="F24" s="21" t="n">
        <v>-177653</v>
      </c>
      <c r="G24" s="21" t="n">
        <v>0</v>
      </c>
      <c r="H24" s="20" t="inlineStr">
        <is>
          <t>L</t>
        </is>
      </c>
    </row>
    <row r="25" ht="15" customHeight="1">
      <c r="A25" s="18" t="inlineStr">
        <is>
          <t>XYLENE</t>
        </is>
      </c>
      <c r="B25" s="22" t="inlineStr">
        <is>
          <t>100217003</t>
        </is>
      </c>
      <c r="C25" s="23" t="inlineStr">
        <is>
          <t>2025-01-01</t>
        </is>
      </c>
      <c r="D25" s="23" t="inlineStr">
        <is>
          <t>Jan-2025</t>
        </is>
      </c>
      <c r="E25" s="23" t="inlineStr">
        <is>
          <t>FY24-25</t>
        </is>
      </c>
      <c r="F25" s="24" t="n">
        <v>-571300</v>
      </c>
      <c r="G25" s="24" t="n">
        <v>0</v>
      </c>
      <c r="H25" s="23" t="inlineStr">
        <is>
          <t>L</t>
        </is>
      </c>
    </row>
    <row r="26" ht="15" customHeight="1">
      <c r="A26" s="18" t="inlineStr">
        <is>
          <t>XYLENE</t>
        </is>
      </c>
      <c r="B26" s="19" t="inlineStr">
        <is>
          <t>100217003</t>
        </is>
      </c>
      <c r="C26" s="20" t="inlineStr">
        <is>
          <t>2025-02-01</t>
        </is>
      </c>
      <c r="D26" s="20" t="inlineStr">
        <is>
          <t>Feb-2025</t>
        </is>
      </c>
      <c r="E26" s="20" t="inlineStr">
        <is>
          <t>FY24-25</t>
        </is>
      </c>
      <c r="F26" s="21" t="n">
        <v>-506200</v>
      </c>
      <c r="G26" s="21" t="n">
        <v>0</v>
      </c>
      <c r="H26" s="20" t="inlineStr">
        <is>
          <t>L</t>
        </is>
      </c>
    </row>
    <row r="27" ht="15" customHeight="1">
      <c r="A27" s="18" t="inlineStr">
        <is>
          <t>XYLENE</t>
        </is>
      </c>
      <c r="B27" s="22" t="inlineStr">
        <is>
          <t>100217003</t>
        </is>
      </c>
      <c r="C27" s="23" t="inlineStr">
        <is>
          <t>2025-03-01</t>
        </is>
      </c>
      <c r="D27" s="23" t="inlineStr">
        <is>
          <t>Mar-2025</t>
        </is>
      </c>
      <c r="E27" s="23" t="inlineStr">
        <is>
          <t>FY24-25</t>
        </is>
      </c>
      <c r="F27" s="24" t="n">
        <v>-562480</v>
      </c>
      <c r="G27" s="24" t="n">
        <v>0</v>
      </c>
      <c r="H27" s="23" t="inlineStr">
        <is>
          <t>L</t>
        </is>
      </c>
    </row>
    <row r="28" ht="15" customHeight="1">
      <c r="A28" s="18" t="inlineStr">
        <is>
          <t>XYLENE</t>
        </is>
      </c>
      <c r="B28" s="19" t="inlineStr">
        <is>
          <t>100217003</t>
        </is>
      </c>
      <c r="C28" s="20" t="inlineStr">
        <is>
          <t>2025-04-01</t>
        </is>
      </c>
      <c r="D28" s="20" t="inlineStr">
        <is>
          <t>Apr-2025</t>
        </is>
      </c>
      <c r="E28" s="20" t="inlineStr">
        <is>
          <t>FY25-26</t>
        </is>
      </c>
      <c r="F28" s="21" t="n">
        <v>-392450</v>
      </c>
      <c r="G28" s="21" t="n">
        <v>0</v>
      </c>
      <c r="H28" s="20" t="inlineStr">
        <is>
          <t>L</t>
        </is>
      </c>
    </row>
    <row r="29" ht="15" customHeight="1">
      <c r="A29" s="18" t="inlineStr">
        <is>
          <t>XYLENE</t>
        </is>
      </c>
      <c r="B29" s="22" t="inlineStr">
        <is>
          <t>100217003</t>
        </is>
      </c>
      <c r="C29" s="23" t="inlineStr">
        <is>
          <t>2025-05-01</t>
        </is>
      </c>
      <c r="D29" s="23" t="inlineStr">
        <is>
          <t>May-2025</t>
        </is>
      </c>
      <c r="E29" s="23" t="inlineStr">
        <is>
          <t>FY25-26</t>
        </is>
      </c>
      <c r="F29" s="24" t="n">
        <v>-325250</v>
      </c>
      <c r="G29" s="24" t="n">
        <v>0</v>
      </c>
      <c r="H29" s="23" t="inlineStr">
        <is>
          <t>L</t>
        </is>
      </c>
    </row>
    <row r="30" ht="15" customHeight="1">
      <c r="A30" s="18" t="inlineStr">
        <is>
          <t>XYLENE</t>
        </is>
      </c>
      <c r="B30" s="19" t="inlineStr">
        <is>
          <t>100217003</t>
        </is>
      </c>
      <c r="C30" s="20" t="inlineStr">
        <is>
          <t>2025-06-01</t>
        </is>
      </c>
      <c r="D30" s="20" t="inlineStr">
        <is>
          <t>Jun-2025</t>
        </is>
      </c>
      <c r="E30" s="20" t="inlineStr">
        <is>
          <t>FY25-26</t>
        </is>
      </c>
      <c r="F30" s="21" t="n">
        <v>-291000</v>
      </c>
      <c r="G30" s="21" t="n">
        <v>0</v>
      </c>
      <c r="H30" s="20" t="inlineStr">
        <is>
          <t>L</t>
        </is>
      </c>
    </row>
    <row r="31" ht="15" customHeight="1">
      <c r="A31" s="18" t="inlineStr">
        <is>
          <t>XYLENE</t>
        </is>
      </c>
      <c r="B31" s="22" t="inlineStr">
        <is>
          <t>100217003</t>
        </is>
      </c>
      <c r="C31" s="23" t="inlineStr">
        <is>
          <t>2025-07-01</t>
        </is>
      </c>
      <c r="D31" s="23" t="inlineStr">
        <is>
          <t>Jul-2025</t>
        </is>
      </c>
      <c r="E31" s="23" t="inlineStr">
        <is>
          <t>FY25-26</t>
        </is>
      </c>
      <c r="F31" s="24" t="n">
        <v>-319575</v>
      </c>
      <c r="G31" s="24" t="n">
        <v>0</v>
      </c>
      <c r="H31" s="23" t="inlineStr">
        <is>
          <t>L</t>
        </is>
      </c>
    </row>
    <row r="32" ht="15" customHeight="1">
      <c r="A32" s="18" t="inlineStr">
        <is>
          <t>XYLENE</t>
        </is>
      </c>
      <c r="B32" s="19" t="inlineStr">
        <is>
          <t>100217003</t>
        </is>
      </c>
      <c r="C32" s="20" t="inlineStr">
        <is>
          <t>2025-08-01</t>
        </is>
      </c>
      <c r="D32" s="20" t="inlineStr">
        <is>
          <t>Aug-2025</t>
        </is>
      </c>
      <c r="E32" s="20" t="inlineStr">
        <is>
          <t>FY25-26</t>
        </is>
      </c>
      <c r="F32" s="21" t="n">
        <v>-257732</v>
      </c>
      <c r="G32" s="21" t="n">
        <v>0</v>
      </c>
      <c r="H32" s="20" t="inlineStr">
        <is>
          <t>L</t>
        </is>
      </c>
    </row>
    <row r="33" ht="15" customHeight="1">
      <c r="A33" s="18" t="inlineStr">
        <is>
          <t>XYLENE</t>
        </is>
      </c>
      <c r="B33" s="22" t="inlineStr">
        <is>
          <t>100217003</t>
        </is>
      </c>
      <c r="C33" s="23" t="inlineStr">
        <is>
          <t>2025-09-01</t>
        </is>
      </c>
      <c r="D33" s="23" t="inlineStr">
        <is>
          <t>Sep-2025</t>
        </is>
      </c>
      <c r="E33" s="23" t="inlineStr">
        <is>
          <t>FY25-26</t>
        </is>
      </c>
      <c r="F33" s="24" t="n">
        <v>-392773</v>
      </c>
      <c r="G33" s="24" t="n">
        <v>0</v>
      </c>
      <c r="H33" s="23" t="inlineStr">
        <is>
          <t>L</t>
        </is>
      </c>
    </row>
    <row r="34" ht="15" customHeight="1">
      <c r="A34" s="18" t="inlineStr">
        <is>
          <t>XYLENE</t>
        </is>
      </c>
      <c r="B34" s="19" t="inlineStr">
        <is>
          <t>100217003</t>
        </is>
      </c>
      <c r="C34" s="20" t="inlineStr">
        <is>
          <t>2025-10-01</t>
        </is>
      </c>
      <c r="D34" s="20" t="inlineStr">
        <is>
          <t>Oct-2025</t>
        </is>
      </c>
      <c r="E34" s="20" t="inlineStr">
        <is>
          <t>FY25-26</t>
        </is>
      </c>
      <c r="F34" s="21" t="n">
        <v>-220268</v>
      </c>
      <c r="G34" s="21" t="n">
        <v>0</v>
      </c>
      <c r="H34" s="20" t="inlineStr">
        <is>
          <t>L</t>
        </is>
      </c>
    </row>
    <row r="35" ht="15" customHeight="1">
      <c r="A35" s="18" t="inlineStr">
        <is>
          <t>XYLENE</t>
        </is>
      </c>
      <c r="B35" s="22" t="inlineStr">
        <is>
          <t>100217003</t>
        </is>
      </c>
      <c r="C35" s="23" t="inlineStr">
        <is>
          <t>2025-11-01</t>
        </is>
      </c>
      <c r="D35" s="23" t="inlineStr">
        <is>
          <t>Nov-2025</t>
        </is>
      </c>
      <c r="E35" s="23" t="inlineStr">
        <is>
          <t>FY25-26</t>
        </is>
      </c>
      <c r="F35" s="24" t="n">
        <v>-368299</v>
      </c>
      <c r="G35" s="24" t="n">
        <v>0</v>
      </c>
      <c r="H35" s="23" t="inlineStr">
        <is>
          <t>L</t>
        </is>
      </c>
    </row>
    <row r="36" ht="15" customHeight="1">
      <c r="A36" s="18" t="inlineStr">
        <is>
          <t>XYLENE</t>
        </is>
      </c>
      <c r="B36" s="19" t="inlineStr">
        <is>
          <t>100217003</t>
        </is>
      </c>
      <c r="C36" s="20" t="inlineStr">
        <is>
          <t>2025-12-01</t>
        </is>
      </c>
      <c r="D36" s="20" t="inlineStr">
        <is>
          <t>Dec-2025</t>
        </is>
      </c>
      <c r="E36" s="20" t="inlineStr">
        <is>
          <t>FY25-26</t>
        </is>
      </c>
      <c r="F36" s="21" t="n">
        <v>-880801</v>
      </c>
      <c r="G36" s="21" t="n">
        <v>0</v>
      </c>
      <c r="H36" s="20" t="inlineStr">
        <is>
          <t>L</t>
        </is>
      </c>
    </row>
    <row r="37" ht="15" customHeight="1">
      <c r="A37" s="18" t="inlineStr">
        <is>
          <t>XYLENE</t>
        </is>
      </c>
      <c r="B37" s="22" t="inlineStr">
        <is>
          <t>100217003</t>
        </is>
      </c>
      <c r="C37" s="23" t="inlineStr">
        <is>
          <t>2026-01-01</t>
        </is>
      </c>
      <c r="D37" s="23" t="inlineStr">
        <is>
          <t>Jan-2026</t>
        </is>
      </c>
      <c r="E37" s="23" t="inlineStr">
        <is>
          <t>FY25-26</t>
        </is>
      </c>
      <c r="F37" s="24" t="n">
        <v>-175152</v>
      </c>
      <c r="G37" s="24" t="n">
        <v>0</v>
      </c>
      <c r="H37" s="23" t="inlineStr">
        <is>
          <t>L</t>
        </is>
      </c>
    </row>
    <row r="38" ht="15" customHeight="1">
      <c r="A38" s="18" t="inlineStr">
        <is>
          <t>XYLENE</t>
        </is>
      </c>
      <c r="B38" s="19" t="inlineStr">
        <is>
          <t>100217003</t>
        </is>
      </c>
      <c r="C38" s="20" t="inlineStr">
        <is>
          <t>2026-02-01</t>
        </is>
      </c>
      <c r="D38" s="20" t="inlineStr">
        <is>
          <t>Feb-2026</t>
        </is>
      </c>
      <c r="E38" s="20" t="inlineStr">
        <is>
          <t>FY25-26</t>
        </is>
      </c>
      <c r="F38" s="21" t="n">
        <v>-184626.6</v>
      </c>
      <c r="G38" s="21" t="n">
        <v>0</v>
      </c>
      <c r="H38" s="20" t="inlineStr">
        <is>
          <t>L</t>
        </is>
      </c>
    </row>
    <row r="39" ht="15" customHeight="1">
      <c r="A39" s="18" t="inlineStr">
        <is>
          <t>XYLENE</t>
        </is>
      </c>
      <c r="B39" s="22" t="inlineStr">
        <is>
          <t>100217003</t>
        </is>
      </c>
      <c r="C39" s="23" t="inlineStr">
        <is>
          <t>2026-03-01</t>
        </is>
      </c>
      <c r="D39" s="23" t="inlineStr">
        <is>
          <t>Mar-2026</t>
        </is>
      </c>
      <c r="E39" s="23" t="inlineStr">
        <is>
          <t>FY25-26</t>
        </is>
      </c>
      <c r="F39" s="24" t="n">
        <v>-76500</v>
      </c>
      <c r="G39" s="24" t="n">
        <v>0</v>
      </c>
      <c r="H39" s="23" t="inlineStr">
        <is>
          <t>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</cols>
  <sheetData>
    <row r="1" ht="28" customHeight="1">
      <c r="A1" s="1" t="inlineStr">
        <is>
          <t>Source Audit — Data provenance per material × month  (use to validate stitching logic)</t>
        </is>
      </c>
    </row>
    <row r="2" ht="18" customHeight="1">
      <c r="A2" s="25" t="inlineStr">
        <is>
          <t>Green=FY23-24  |  Blue=FY24-25  |  Purple=FY25-26  |  Grey=zero-fill (no movement that month)</t>
        </is>
      </c>
    </row>
    <row r="3" ht="26" customHeight="1">
      <c r="A3" s="14" t="inlineStr">
        <is>
          <t>Material</t>
        </is>
      </c>
      <c r="B3" s="14" t="inlineStr">
        <is>
          <t>Apr-2023</t>
        </is>
      </c>
      <c r="C3" s="14" t="inlineStr">
        <is>
          <t>May-2023</t>
        </is>
      </c>
      <c r="D3" s="14" t="inlineStr">
        <is>
          <t>Jun-2023</t>
        </is>
      </c>
      <c r="E3" s="14" t="inlineStr">
        <is>
          <t>Jul-2023</t>
        </is>
      </c>
      <c r="F3" s="14" t="inlineStr">
        <is>
          <t>Aug-2023</t>
        </is>
      </c>
      <c r="G3" s="14" t="inlineStr">
        <is>
          <t>Sep-2023</t>
        </is>
      </c>
      <c r="H3" s="14" t="inlineStr">
        <is>
          <t>Oct-2023</t>
        </is>
      </c>
      <c r="I3" s="14" t="inlineStr">
        <is>
          <t>Nov-2023</t>
        </is>
      </c>
      <c r="J3" s="14" t="inlineStr">
        <is>
          <t>Dec-2023</t>
        </is>
      </c>
      <c r="K3" s="14" t="inlineStr">
        <is>
          <t>Jan-2024</t>
        </is>
      </c>
      <c r="L3" s="14" t="inlineStr">
        <is>
          <t>Feb-2024</t>
        </is>
      </c>
      <c r="M3" s="14" t="inlineStr">
        <is>
          <t>Mar-2024</t>
        </is>
      </c>
      <c r="N3" s="14" t="inlineStr">
        <is>
          <t>Apr-2024</t>
        </is>
      </c>
      <c r="O3" s="14" t="inlineStr">
        <is>
          <t>May-2024</t>
        </is>
      </c>
      <c r="P3" s="14" t="inlineStr">
        <is>
          <t>Jun-2024</t>
        </is>
      </c>
      <c r="Q3" s="14" t="inlineStr">
        <is>
          <t>Jul-2024</t>
        </is>
      </c>
      <c r="R3" s="14" t="inlineStr">
        <is>
          <t>Aug-2024</t>
        </is>
      </c>
      <c r="S3" s="14" t="inlineStr">
        <is>
          <t>Sep-2024</t>
        </is>
      </c>
      <c r="T3" s="14" t="inlineStr">
        <is>
          <t>Oct-2024</t>
        </is>
      </c>
      <c r="U3" s="14" t="inlineStr">
        <is>
          <t>Nov-2024</t>
        </is>
      </c>
      <c r="V3" s="14" t="inlineStr">
        <is>
          <t>Dec-2024</t>
        </is>
      </c>
      <c r="W3" s="14" t="inlineStr">
        <is>
          <t>Jan-2025</t>
        </is>
      </c>
      <c r="X3" s="14" t="inlineStr">
        <is>
          <t>Feb-2025</t>
        </is>
      </c>
      <c r="Y3" s="14" t="inlineStr">
        <is>
          <t>Mar-2025</t>
        </is>
      </c>
      <c r="Z3" s="14" t="inlineStr">
        <is>
          <t>Apr-2025</t>
        </is>
      </c>
      <c r="AA3" s="14" t="inlineStr">
        <is>
          <t>May-2025</t>
        </is>
      </c>
      <c r="AB3" s="14" t="inlineStr">
        <is>
          <t>Jun-2025</t>
        </is>
      </c>
      <c r="AC3" s="14" t="inlineStr">
        <is>
          <t>Jul-2025</t>
        </is>
      </c>
      <c r="AD3" s="14" t="inlineStr">
        <is>
          <t>Aug-2025</t>
        </is>
      </c>
      <c r="AE3" s="14" t="inlineStr">
        <is>
          <t>Sep-2025</t>
        </is>
      </c>
      <c r="AF3" s="14" t="inlineStr">
        <is>
          <t>Oct-2025</t>
        </is>
      </c>
      <c r="AG3" s="14" t="inlineStr">
        <is>
          <t>Nov-2025</t>
        </is>
      </c>
      <c r="AH3" s="14" t="inlineStr">
        <is>
          <t>Dec-2025</t>
        </is>
      </c>
      <c r="AI3" s="14" t="inlineStr">
        <is>
          <t>Jan-2026</t>
        </is>
      </c>
      <c r="AJ3" s="14" t="inlineStr">
        <is>
          <t>Feb-2026</t>
        </is>
      </c>
      <c r="AK3" s="14" t="inlineStr">
        <is>
          <t>Mar-2026</t>
        </is>
      </c>
    </row>
    <row r="4" ht="16" customHeight="1">
      <c r="A4" s="9" t="inlineStr">
        <is>
          <t>XYLENE</t>
        </is>
      </c>
      <c r="B4" s="26" t="inlineStr">
        <is>
          <t>FY23-24</t>
        </is>
      </c>
      <c r="C4" s="26" t="inlineStr">
        <is>
          <t>FY23-24</t>
        </is>
      </c>
      <c r="D4" s="26" t="inlineStr">
        <is>
          <t>FY23-24</t>
        </is>
      </c>
      <c r="E4" s="26" t="inlineStr">
        <is>
          <t>FY23-24</t>
        </is>
      </c>
      <c r="F4" s="26" t="inlineStr">
        <is>
          <t>FY23-24</t>
        </is>
      </c>
      <c r="G4" s="26" t="inlineStr">
        <is>
          <t>FY23-24</t>
        </is>
      </c>
      <c r="H4" s="26" t="inlineStr">
        <is>
          <t>FY23-24</t>
        </is>
      </c>
      <c r="I4" s="26" t="inlineStr">
        <is>
          <t>FY23-24</t>
        </is>
      </c>
      <c r="J4" s="26" t="inlineStr">
        <is>
          <t>FY23-24</t>
        </is>
      </c>
      <c r="K4" s="26" t="inlineStr">
        <is>
          <t>FY23-24</t>
        </is>
      </c>
      <c r="L4" s="26" t="inlineStr">
        <is>
          <t>FY23-24</t>
        </is>
      </c>
      <c r="M4" s="26" t="inlineStr">
        <is>
          <t>FY23-24</t>
        </is>
      </c>
      <c r="N4" s="27" t="inlineStr">
        <is>
          <t>FY24-25</t>
        </is>
      </c>
      <c r="O4" s="27" t="inlineStr">
        <is>
          <t>FY24-25</t>
        </is>
      </c>
      <c r="P4" s="27" t="inlineStr">
        <is>
          <t>FY24-25</t>
        </is>
      </c>
      <c r="Q4" s="27" t="inlineStr">
        <is>
          <t>FY24-25</t>
        </is>
      </c>
      <c r="R4" s="27" t="inlineStr">
        <is>
          <t>FY24-25</t>
        </is>
      </c>
      <c r="S4" s="27" t="inlineStr">
        <is>
          <t>FY24-25</t>
        </is>
      </c>
      <c r="T4" s="27" t="inlineStr">
        <is>
          <t>FY24-25</t>
        </is>
      </c>
      <c r="U4" s="27" t="inlineStr">
        <is>
          <t>FY24-25</t>
        </is>
      </c>
      <c r="V4" s="27" t="inlineStr">
        <is>
          <t>FY24-25</t>
        </is>
      </c>
      <c r="W4" s="27" t="inlineStr">
        <is>
          <t>FY24-25</t>
        </is>
      </c>
      <c r="X4" s="27" t="inlineStr">
        <is>
          <t>FY24-25</t>
        </is>
      </c>
      <c r="Y4" s="27" t="inlineStr">
        <is>
          <t>FY24-25</t>
        </is>
      </c>
      <c r="Z4" s="28" t="inlineStr">
        <is>
          <t>FY25-26</t>
        </is>
      </c>
      <c r="AA4" s="28" t="inlineStr">
        <is>
          <t>FY25-26</t>
        </is>
      </c>
      <c r="AB4" s="28" t="inlineStr">
        <is>
          <t>FY25-26</t>
        </is>
      </c>
      <c r="AC4" s="28" t="inlineStr">
        <is>
          <t>FY25-26</t>
        </is>
      </c>
      <c r="AD4" s="28" t="inlineStr">
        <is>
          <t>FY25-26</t>
        </is>
      </c>
      <c r="AE4" s="28" t="inlineStr">
        <is>
          <t>FY25-26</t>
        </is>
      </c>
      <c r="AF4" s="28" t="inlineStr">
        <is>
          <t>FY25-26</t>
        </is>
      </c>
      <c r="AG4" s="28" t="inlineStr">
        <is>
          <t>FY25-26</t>
        </is>
      </c>
      <c r="AH4" s="28" t="inlineStr">
        <is>
          <t>FY25-26</t>
        </is>
      </c>
      <c r="AI4" s="28" t="inlineStr">
        <is>
          <t>FY25-26</t>
        </is>
      </c>
      <c r="AJ4" s="28" t="inlineStr">
        <is>
          <t>FY25-26</t>
        </is>
      </c>
      <c r="AK4" s="28" t="inlineStr">
        <is>
          <t>FY25-26</t>
        </is>
      </c>
    </row>
  </sheetData>
  <mergeCells count="2">
    <mergeCell ref="A1:AK1"/>
    <mergeCell ref="A2:A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</cols>
  <sheetData>
    <row r="1" ht="28" customHeight="1">
      <c r="A1" s="1" t="inlineStr">
        <is>
          <t>Material Intelligence — Plant-wise Consumption Pivot  |  Apr-2023 to Mar-2026</t>
        </is>
      </c>
    </row>
    <row r="2" ht="18" customHeight="1">
      <c r="A2" s="2" t="inlineStr">
        <is>
          <t>Sub-plant consumption rolled up to reporting plant (forecast unit) level.  Values are absolute (reversals excluded from totals).  Plant names shown beside codes.</t>
        </is>
      </c>
    </row>
    <row r="3" ht="22" customHeight="1">
      <c r="A3" s="3" t="inlineStr">
        <is>
          <t>Reporting Plant</t>
        </is>
      </c>
      <c r="B3" s="14" t="inlineStr">
        <is>
          <t>FY Summary Totals</t>
        </is>
      </c>
      <c r="F3" s="14" t="inlineStr">
        <is>
          <t>FY23-24</t>
        </is>
      </c>
      <c r="R3" s="14" t="inlineStr">
        <is>
          <t>FY24-25</t>
        </is>
      </c>
      <c r="AD3" s="14" t="inlineStr">
        <is>
          <t>FY25-26</t>
        </is>
      </c>
    </row>
    <row r="4" ht="26" customHeight="1">
      <c r="A4" s="3" t="inlineStr">
        <is>
          <t>Reporting Plant</t>
        </is>
      </c>
      <c r="B4" s="3" t="inlineStr">
        <is>
          <t>FY23-24</t>
        </is>
      </c>
      <c r="C4" s="3" t="inlineStr">
        <is>
          <t>FY24-25</t>
        </is>
      </c>
      <c r="D4" s="3" t="inlineStr">
        <is>
          <t>FY25-26</t>
        </is>
      </c>
      <c r="E4" s="3" t="inlineStr">
        <is>
          <t>Overall Total</t>
        </is>
      </c>
      <c r="F4" s="3" t="inlineStr">
        <is>
          <t>Apr-2023</t>
        </is>
      </c>
      <c r="G4" s="3" t="inlineStr">
        <is>
          <t>May-2023</t>
        </is>
      </c>
      <c r="H4" s="3" t="inlineStr">
        <is>
          <t>Jun-2023</t>
        </is>
      </c>
      <c r="I4" s="3" t="inlineStr">
        <is>
          <t>Jul-2023</t>
        </is>
      </c>
      <c r="J4" s="3" t="inlineStr">
        <is>
          <t>Aug-2023</t>
        </is>
      </c>
      <c r="K4" s="3" t="inlineStr">
        <is>
          <t>Sep-2023</t>
        </is>
      </c>
      <c r="L4" s="3" t="inlineStr">
        <is>
          <t>Oct-2023</t>
        </is>
      </c>
      <c r="M4" s="3" t="inlineStr">
        <is>
          <t>Nov-2023</t>
        </is>
      </c>
      <c r="N4" s="3" t="inlineStr">
        <is>
          <t>Dec-2023</t>
        </is>
      </c>
      <c r="O4" s="3" t="inlineStr">
        <is>
          <t>Jan-2024</t>
        </is>
      </c>
      <c r="P4" s="3" t="inlineStr">
        <is>
          <t>Feb-2024</t>
        </is>
      </c>
      <c r="Q4" s="3" t="inlineStr">
        <is>
          <t>Mar-2024</t>
        </is>
      </c>
      <c r="R4" s="3" t="inlineStr">
        <is>
          <t>Apr-2024</t>
        </is>
      </c>
      <c r="S4" s="3" t="inlineStr">
        <is>
          <t>May-2024</t>
        </is>
      </c>
      <c r="T4" s="3" t="inlineStr">
        <is>
          <t>Jun-2024</t>
        </is>
      </c>
      <c r="U4" s="3" t="inlineStr">
        <is>
          <t>Jul-2024</t>
        </is>
      </c>
      <c r="V4" s="3" t="inlineStr">
        <is>
          <t>Aug-2024</t>
        </is>
      </c>
      <c r="W4" s="3" t="inlineStr">
        <is>
          <t>Sep-2024</t>
        </is>
      </c>
      <c r="X4" s="3" t="inlineStr">
        <is>
          <t>Oct-2024</t>
        </is>
      </c>
      <c r="Y4" s="3" t="inlineStr">
        <is>
          <t>Nov-2024</t>
        </is>
      </c>
      <c r="Z4" s="3" t="inlineStr">
        <is>
          <t>Dec-2024</t>
        </is>
      </c>
      <c r="AA4" s="3" t="inlineStr">
        <is>
          <t>Jan-2025</t>
        </is>
      </c>
      <c r="AB4" s="3" t="inlineStr">
        <is>
          <t>Feb-2025</t>
        </is>
      </c>
      <c r="AC4" s="3" t="inlineStr">
        <is>
          <t>Mar-2025</t>
        </is>
      </c>
      <c r="AD4" s="3" t="inlineStr">
        <is>
          <t>Apr-2025</t>
        </is>
      </c>
      <c r="AE4" s="3" t="inlineStr">
        <is>
          <t>May-2025</t>
        </is>
      </c>
      <c r="AF4" s="3" t="inlineStr">
        <is>
          <t>Jun-2025</t>
        </is>
      </c>
      <c r="AG4" s="3" t="inlineStr">
        <is>
          <t>Jul-2025</t>
        </is>
      </c>
      <c r="AH4" s="3" t="inlineStr">
        <is>
          <t>Aug-2025</t>
        </is>
      </c>
      <c r="AI4" s="3" t="inlineStr">
        <is>
          <t>Sep-2025</t>
        </is>
      </c>
      <c r="AJ4" s="3" t="inlineStr">
        <is>
          <t>Oct-2025</t>
        </is>
      </c>
      <c r="AK4" s="3" t="inlineStr">
        <is>
          <t>Nov-2025</t>
        </is>
      </c>
      <c r="AL4" s="3" t="inlineStr">
        <is>
          <t>Dec-2025</t>
        </is>
      </c>
      <c r="AM4" s="3" t="inlineStr">
        <is>
          <t>Jan-2026</t>
        </is>
      </c>
      <c r="AN4" s="3" t="inlineStr">
        <is>
          <t>Feb-2026</t>
        </is>
      </c>
      <c r="AO4" s="3" t="inlineStr">
        <is>
          <t>Mar-2026</t>
        </is>
      </c>
    </row>
    <row r="5" ht="36" customHeight="1">
      <c r="A5" s="4" t="inlineStr">
        <is>
          <t>10B1</t>
        </is>
      </c>
      <c r="B5" s="11" t="n">
        <v>0</v>
      </c>
      <c r="C5" s="11" t="n">
        <v>0</v>
      </c>
      <c r="D5" s="11" t="n">
        <v>1200</v>
      </c>
      <c r="E5" s="29" t="n">
        <v>1200</v>
      </c>
      <c r="F5" s="30" t="inlineStr"/>
      <c r="G5" s="30" t="inlineStr"/>
      <c r="H5" s="30" t="inlineStr"/>
      <c r="I5" s="30" t="inlineStr"/>
      <c r="J5" s="30" t="inlineStr"/>
      <c r="K5" s="30" t="inlineStr"/>
      <c r="L5" s="30" t="inlineStr"/>
      <c r="M5" s="30" t="inlineStr"/>
      <c r="N5" s="30" t="inlineStr"/>
      <c r="O5" s="30" t="inlineStr"/>
      <c r="P5" s="30" t="inlineStr"/>
      <c r="Q5" s="30" t="inlineStr"/>
      <c r="R5" s="30" t="inlineStr"/>
      <c r="S5" s="30" t="inlineStr"/>
      <c r="T5" s="30" t="inlineStr"/>
      <c r="U5" s="30" t="inlineStr"/>
      <c r="V5" s="30" t="inlineStr"/>
      <c r="W5" s="30" t="inlineStr"/>
      <c r="X5" s="30" t="inlineStr"/>
      <c r="Y5" s="30" t="inlineStr"/>
      <c r="Z5" s="30" t="inlineStr"/>
      <c r="AA5" s="30" t="inlineStr"/>
      <c r="AB5" s="30" t="inlineStr"/>
      <c r="AC5" s="30" t="inlineStr"/>
      <c r="AD5" s="30" t="inlineStr"/>
      <c r="AE5" s="30" t="inlineStr"/>
      <c r="AF5" s="30" t="inlineStr"/>
      <c r="AG5" s="30" t="inlineStr"/>
      <c r="AH5" s="30" t="inlineStr"/>
      <c r="AI5" s="30" t="inlineStr"/>
      <c r="AJ5" s="30" t="inlineStr"/>
      <c r="AK5" s="30" t="inlineStr"/>
      <c r="AL5" s="30" t="inlineStr"/>
      <c r="AM5" s="11" t="n">
        <v>1200</v>
      </c>
      <c r="AN5" s="30" t="inlineStr"/>
      <c r="AO5" s="30" t="inlineStr"/>
    </row>
    <row r="6" ht="36" customHeight="1">
      <c r="A6" s="4" t="inlineStr">
        <is>
          <t>11A1 — Mumbai High North</t>
        </is>
      </c>
      <c r="B6" s="31" t="n">
        <v>89800</v>
      </c>
      <c r="C6" s="31" t="n">
        <v>81700</v>
      </c>
      <c r="D6" s="31" t="n">
        <v>270500</v>
      </c>
      <c r="E6" s="32" t="n">
        <v>442000</v>
      </c>
      <c r="F6" s="31" t="n">
        <v>1000</v>
      </c>
      <c r="G6" s="31" t="n">
        <v>5800</v>
      </c>
      <c r="H6" s="31" t="n">
        <v>1000</v>
      </c>
      <c r="I6" s="31" t="n">
        <v>2000</v>
      </c>
      <c r="J6" s="31" t="n">
        <v>10600</v>
      </c>
      <c r="K6" s="31" t="n">
        <v>11400</v>
      </c>
      <c r="L6" s="31" t="n">
        <v>5000</v>
      </c>
      <c r="M6" s="31" t="n">
        <v>4000</v>
      </c>
      <c r="N6" s="31" t="n">
        <v>13600</v>
      </c>
      <c r="O6" s="31" t="n">
        <v>18000</v>
      </c>
      <c r="P6" s="31" t="n">
        <v>14400</v>
      </c>
      <c r="Q6" s="31" t="n">
        <v>3000</v>
      </c>
      <c r="R6" s="31" t="n">
        <v>9000</v>
      </c>
      <c r="S6" s="31" t="n">
        <v>2400</v>
      </c>
      <c r="T6" s="31" t="n">
        <v>19800</v>
      </c>
      <c r="U6" s="31" t="n">
        <v>4000</v>
      </c>
      <c r="V6" s="33" t="inlineStr"/>
      <c r="W6" s="33" t="inlineStr"/>
      <c r="X6" s="31" t="n">
        <v>27700</v>
      </c>
      <c r="Y6" s="33" t="inlineStr"/>
      <c r="Z6" s="33" t="inlineStr"/>
      <c r="AA6" s="31" t="n">
        <v>1200</v>
      </c>
      <c r="AB6" s="33" t="inlineStr"/>
      <c r="AC6" s="31" t="n">
        <v>17600</v>
      </c>
      <c r="AD6" s="31" t="n">
        <v>1200</v>
      </c>
      <c r="AE6" s="31" t="n">
        <v>11200</v>
      </c>
      <c r="AF6" s="31" t="n">
        <v>14800</v>
      </c>
      <c r="AG6" s="31" t="n">
        <v>5200</v>
      </c>
      <c r="AH6" s="31" t="n">
        <v>15400</v>
      </c>
      <c r="AI6" s="31" t="n">
        <v>9733</v>
      </c>
      <c r="AJ6" s="31" t="n">
        <v>24261</v>
      </c>
      <c r="AK6" s="31" t="n">
        <v>64606</v>
      </c>
      <c r="AL6" s="31" t="n">
        <v>20600</v>
      </c>
      <c r="AM6" s="31" t="n">
        <v>19400</v>
      </c>
      <c r="AN6" s="31" t="n">
        <v>64600</v>
      </c>
      <c r="AO6" s="31" t="n">
        <v>19500</v>
      </c>
    </row>
    <row r="7" ht="36" customHeight="1">
      <c r="A7" s="4" t="inlineStr">
        <is>
          <t>12A1 — Heera / Ratna</t>
        </is>
      </c>
      <c r="B7" s="11" t="n">
        <v>53999</v>
      </c>
      <c r="C7" s="11" t="n">
        <v>34601</v>
      </c>
      <c r="D7" s="11" t="n">
        <v>78600</v>
      </c>
      <c r="E7" s="29" t="n">
        <v>167200</v>
      </c>
      <c r="F7" s="30" t="inlineStr"/>
      <c r="G7" s="30" t="inlineStr"/>
      <c r="H7" s="30" t="inlineStr"/>
      <c r="I7" s="30" t="inlineStr"/>
      <c r="J7" s="11" t="n">
        <v>460</v>
      </c>
      <c r="K7" s="11" t="n">
        <v>29540</v>
      </c>
      <c r="L7" s="11" t="n">
        <v>16</v>
      </c>
      <c r="M7" s="30" t="inlineStr"/>
      <c r="N7" s="11" t="n">
        <v>16383</v>
      </c>
      <c r="O7" s="11" t="n">
        <v>7000</v>
      </c>
      <c r="P7" s="11" t="n">
        <v>600</v>
      </c>
      <c r="Q7" s="30" t="inlineStr"/>
      <c r="R7" s="11" t="n">
        <v>1</v>
      </c>
      <c r="S7" s="11" t="n">
        <v>6700</v>
      </c>
      <c r="T7" s="11" t="n">
        <v>20900</v>
      </c>
      <c r="U7" s="30" t="inlineStr"/>
      <c r="V7" s="30" t="inlineStr"/>
      <c r="W7" s="30" t="inlineStr"/>
      <c r="X7" s="11" t="n">
        <v>7000</v>
      </c>
      <c r="Y7" s="30" t="inlineStr"/>
      <c r="Z7" s="30" t="inlineStr"/>
      <c r="AA7" s="30" t="inlineStr"/>
      <c r="AB7" s="30" t="inlineStr"/>
      <c r="AC7" s="30" t="inlineStr"/>
      <c r="AD7" s="30" t="inlineStr"/>
      <c r="AE7" s="30" t="inlineStr"/>
      <c r="AF7" s="30" t="inlineStr"/>
      <c r="AG7" s="11" t="n">
        <v>6000</v>
      </c>
      <c r="AH7" s="30" t="inlineStr"/>
      <c r="AI7" s="11" t="n">
        <v>13002</v>
      </c>
      <c r="AJ7" s="30" t="inlineStr"/>
      <c r="AK7" s="11" t="n">
        <v>10000</v>
      </c>
      <c r="AL7" s="11" t="n">
        <v>42998</v>
      </c>
      <c r="AM7" s="11" t="n">
        <v>6600</v>
      </c>
      <c r="AN7" s="30" t="inlineStr"/>
      <c r="AO7" s="30" t="inlineStr"/>
    </row>
    <row r="8" ht="36" customHeight="1">
      <c r="A8" s="4" t="inlineStr">
        <is>
          <t>13A1 — Mumbai High South</t>
        </is>
      </c>
      <c r="B8" s="31" t="n">
        <v>10000</v>
      </c>
      <c r="C8" s="31" t="n">
        <v>37000</v>
      </c>
      <c r="D8" s="31" t="n">
        <v>57200</v>
      </c>
      <c r="E8" s="32" t="n">
        <v>104200</v>
      </c>
      <c r="F8" s="33" t="inlineStr"/>
      <c r="G8" s="33" t="inlineStr"/>
      <c r="H8" s="33" t="inlineStr"/>
      <c r="I8" s="31" t="n">
        <v>4000</v>
      </c>
      <c r="J8" s="33" t="inlineStr"/>
      <c r="K8" s="31" t="n">
        <v>4800</v>
      </c>
      <c r="L8" s="33" t="inlineStr"/>
      <c r="M8" s="33" t="inlineStr"/>
      <c r="N8" s="31" t="n">
        <v>1200</v>
      </c>
      <c r="O8" s="33" t="inlineStr"/>
      <c r="P8" s="33" t="inlineStr"/>
      <c r="Q8" s="33" t="inlineStr"/>
      <c r="R8" s="31" t="n">
        <v>9600</v>
      </c>
      <c r="S8" s="33" t="inlineStr"/>
      <c r="T8" s="33" t="inlineStr"/>
      <c r="U8" s="31" t="n">
        <v>4600</v>
      </c>
      <c r="V8" s="31" t="n">
        <v>800</v>
      </c>
      <c r="W8" s="33" t="inlineStr"/>
      <c r="X8" s="33" t="inlineStr"/>
      <c r="Y8" s="31" t="n">
        <v>6800</v>
      </c>
      <c r="Z8" s="31" t="n">
        <v>2400</v>
      </c>
      <c r="AA8" s="31" t="n">
        <v>3600</v>
      </c>
      <c r="AB8" s="31" t="n">
        <v>7000</v>
      </c>
      <c r="AC8" s="31" t="n">
        <v>2200</v>
      </c>
      <c r="AD8" s="33" t="inlineStr"/>
      <c r="AE8" s="33" t="inlineStr"/>
      <c r="AF8" s="31" t="n">
        <v>2000</v>
      </c>
      <c r="AG8" s="31" t="n">
        <v>6000</v>
      </c>
      <c r="AH8" s="33" t="inlineStr"/>
      <c r="AI8" s="31" t="n">
        <v>17400</v>
      </c>
      <c r="AJ8" s="33" t="inlineStr"/>
      <c r="AK8" s="31" t="n">
        <v>1200</v>
      </c>
      <c r="AL8" s="31" t="n">
        <v>23400</v>
      </c>
      <c r="AM8" s="31" t="n">
        <v>6800</v>
      </c>
      <c r="AN8" s="33" t="inlineStr"/>
      <c r="AO8" s="31" t="n">
        <v>400</v>
      </c>
    </row>
    <row r="9" ht="36" customHeight="1">
      <c r="A9" s="4" t="inlineStr">
        <is>
          <t>20A1</t>
        </is>
      </c>
      <c r="B9" s="11" t="n">
        <v>2047000</v>
      </c>
      <c r="C9" s="11" t="n">
        <v>2329420</v>
      </c>
      <c r="D9" s="11" t="n">
        <v>1675200</v>
      </c>
      <c r="E9" s="29" t="n">
        <v>6051620</v>
      </c>
      <c r="F9" s="11" t="n">
        <v>105000</v>
      </c>
      <c r="G9" s="11" t="n">
        <v>125200</v>
      </c>
      <c r="H9" s="11" t="n">
        <v>87600</v>
      </c>
      <c r="I9" s="11" t="n">
        <v>202200</v>
      </c>
      <c r="J9" s="11" t="n">
        <v>166400</v>
      </c>
      <c r="K9" s="11" t="n">
        <v>105600</v>
      </c>
      <c r="L9" s="11" t="n">
        <v>158800</v>
      </c>
      <c r="M9" s="11" t="n">
        <v>223600</v>
      </c>
      <c r="N9" s="11" t="n">
        <v>201000</v>
      </c>
      <c r="O9" s="11" t="n">
        <v>210400</v>
      </c>
      <c r="P9" s="11" t="n">
        <v>204000</v>
      </c>
      <c r="Q9" s="11" t="n">
        <v>257200</v>
      </c>
      <c r="R9" s="11" t="n">
        <v>129200</v>
      </c>
      <c r="S9" s="11" t="n">
        <v>153000</v>
      </c>
      <c r="T9" s="11" t="n">
        <v>170400</v>
      </c>
      <c r="U9" s="11" t="n">
        <v>231600</v>
      </c>
      <c r="V9" s="11" t="n">
        <v>228820</v>
      </c>
      <c r="W9" s="11" t="n">
        <v>239000</v>
      </c>
      <c r="X9" s="11" t="n">
        <v>194000</v>
      </c>
      <c r="Y9" s="11" t="n">
        <v>77000</v>
      </c>
      <c r="Z9" s="11" t="n">
        <v>99000</v>
      </c>
      <c r="AA9" s="11" t="n">
        <v>316000</v>
      </c>
      <c r="AB9" s="11" t="n">
        <v>241600</v>
      </c>
      <c r="AC9" s="11" t="n">
        <v>249800</v>
      </c>
      <c r="AD9" s="11" t="n">
        <v>220200</v>
      </c>
      <c r="AE9" s="11" t="n">
        <v>146400</v>
      </c>
      <c r="AF9" s="11" t="n">
        <v>155600</v>
      </c>
      <c r="AG9" s="11" t="n">
        <v>57000</v>
      </c>
      <c r="AH9" s="11" t="n">
        <v>93100</v>
      </c>
      <c r="AI9" s="11" t="n">
        <v>225900</v>
      </c>
      <c r="AJ9" s="11" t="n">
        <v>42600</v>
      </c>
      <c r="AK9" s="11" t="n">
        <v>163250</v>
      </c>
      <c r="AL9" s="11" t="n">
        <v>510250</v>
      </c>
      <c r="AM9" s="11" t="n">
        <v>40100</v>
      </c>
      <c r="AN9" s="11" t="n">
        <v>17800</v>
      </c>
      <c r="AO9" s="11" t="n">
        <v>3000</v>
      </c>
    </row>
    <row r="10" ht="36" customHeight="1">
      <c r="A10" s="4" t="inlineStr">
        <is>
          <t>20B1</t>
        </is>
      </c>
      <c r="B10" s="31" t="n">
        <v>0</v>
      </c>
      <c r="C10" s="31" t="n">
        <v>1400</v>
      </c>
      <c r="D10" s="31" t="n">
        <v>0</v>
      </c>
      <c r="E10" s="32" t="n">
        <v>1400</v>
      </c>
      <c r="F10" s="33" t="inlineStr"/>
      <c r="G10" s="33" t="inlineStr"/>
      <c r="H10" s="33" t="inlineStr"/>
      <c r="I10" s="33" t="inlineStr"/>
      <c r="J10" s="33" t="inlineStr"/>
      <c r="K10" s="33" t="inlineStr"/>
      <c r="L10" s="33" t="inlineStr"/>
      <c r="M10" s="33" t="inlineStr"/>
      <c r="N10" s="33" t="inlineStr"/>
      <c r="O10" s="33" t="inlineStr"/>
      <c r="P10" s="33" t="inlineStr"/>
      <c r="Q10" s="33" t="inlineStr"/>
      <c r="R10" s="33" t="inlineStr"/>
      <c r="S10" s="33" t="inlineStr"/>
      <c r="T10" s="33" t="inlineStr"/>
      <c r="U10" s="33" t="inlineStr"/>
      <c r="V10" s="33" t="inlineStr"/>
      <c r="W10" s="33" t="inlineStr"/>
      <c r="X10" s="33" t="inlineStr"/>
      <c r="Y10" s="33" t="inlineStr"/>
      <c r="Z10" s="33" t="inlineStr"/>
      <c r="AA10" s="33" t="inlineStr"/>
      <c r="AB10" s="31" t="n">
        <v>1400</v>
      </c>
      <c r="AC10" s="33" t="inlineStr"/>
      <c r="AD10" s="33" t="inlineStr"/>
      <c r="AE10" s="33" t="inlineStr"/>
      <c r="AF10" s="33" t="inlineStr"/>
      <c r="AG10" s="33" t="inlineStr"/>
      <c r="AH10" s="33" t="inlineStr"/>
      <c r="AI10" s="33" t="inlineStr"/>
      <c r="AJ10" s="33" t="inlineStr"/>
      <c r="AK10" s="33" t="inlineStr"/>
      <c r="AL10" s="33" t="inlineStr"/>
      <c r="AM10" s="33" t="inlineStr"/>
      <c r="AN10" s="33" t="inlineStr"/>
      <c r="AO10" s="33" t="inlineStr"/>
    </row>
    <row r="11" ht="36" customHeight="1">
      <c r="A11" s="4" t="inlineStr">
        <is>
          <t>20T1</t>
        </is>
      </c>
      <c r="B11" s="11" t="n">
        <v>1</v>
      </c>
      <c r="C11" s="11" t="n">
        <v>0</v>
      </c>
      <c r="D11" s="11" t="n">
        <v>0</v>
      </c>
      <c r="E11" s="29" t="n">
        <v>1</v>
      </c>
      <c r="F11" s="30" t="inlineStr"/>
      <c r="G11" s="30" t="inlineStr"/>
      <c r="H11" s="30" t="inlineStr"/>
      <c r="I11" s="11" t="n">
        <v>1</v>
      </c>
      <c r="J11" s="30" t="inlineStr"/>
      <c r="K11" s="30" t="inlineStr"/>
      <c r="L11" s="30" t="inlineStr"/>
      <c r="M11" s="30" t="inlineStr"/>
      <c r="N11" s="30" t="inlineStr"/>
      <c r="O11" s="30" t="inlineStr"/>
      <c r="P11" s="30" t="inlineStr"/>
      <c r="Q11" s="30" t="inlineStr"/>
      <c r="R11" s="30" t="inlineStr"/>
      <c r="S11" s="30" t="inlineStr"/>
      <c r="T11" s="30" t="inlineStr"/>
      <c r="U11" s="30" t="inlineStr"/>
      <c r="V11" s="30" t="inlineStr"/>
      <c r="W11" s="30" t="inlineStr"/>
      <c r="X11" s="30" t="inlineStr"/>
      <c r="Y11" s="30" t="inlineStr"/>
      <c r="Z11" s="30" t="inlineStr"/>
      <c r="AA11" s="30" t="inlineStr"/>
      <c r="AB11" s="30" t="inlineStr"/>
      <c r="AC11" s="30" t="inlineStr"/>
      <c r="AD11" s="30" t="inlineStr"/>
      <c r="AE11" s="30" t="inlineStr"/>
      <c r="AF11" s="30" t="inlineStr"/>
      <c r="AG11" s="30" t="inlineStr"/>
      <c r="AH11" s="30" t="inlineStr"/>
      <c r="AI11" s="30" t="inlineStr"/>
      <c r="AJ11" s="30" t="inlineStr"/>
      <c r="AK11" s="30" t="inlineStr"/>
      <c r="AL11" s="30" t="inlineStr"/>
      <c r="AM11" s="30" t="inlineStr"/>
      <c r="AN11" s="30" t="inlineStr"/>
      <c r="AO11" s="30" t="inlineStr"/>
    </row>
    <row r="12" ht="36" customHeight="1">
      <c r="A12" s="4" t="inlineStr">
        <is>
          <t>20W1</t>
        </is>
      </c>
      <c r="B12" s="31" t="n">
        <v>0</v>
      </c>
      <c r="C12" s="31" t="n">
        <v>38400</v>
      </c>
      <c r="D12" s="31" t="n">
        <v>77600</v>
      </c>
      <c r="E12" s="32" t="n">
        <v>116000</v>
      </c>
      <c r="F12" s="33" t="inlineStr"/>
      <c r="G12" s="33" t="inlineStr"/>
      <c r="H12" s="33" t="inlineStr"/>
      <c r="I12" s="33" t="inlineStr"/>
      <c r="J12" s="33" t="inlineStr"/>
      <c r="K12" s="33" t="inlineStr"/>
      <c r="L12" s="33" t="inlineStr"/>
      <c r="M12" s="33" t="inlineStr"/>
      <c r="N12" s="33" t="inlineStr"/>
      <c r="O12" s="33" t="inlineStr"/>
      <c r="P12" s="33" t="inlineStr"/>
      <c r="Q12" s="33" t="inlineStr"/>
      <c r="R12" s="33" t="inlineStr"/>
      <c r="S12" s="33" t="inlineStr"/>
      <c r="T12" s="33" t="inlineStr"/>
      <c r="U12" s="33" t="inlineStr"/>
      <c r="V12" s="31" t="n">
        <v>1200</v>
      </c>
      <c r="W12" s="31" t="n">
        <v>1000</v>
      </c>
      <c r="X12" s="31" t="n">
        <v>6600</v>
      </c>
      <c r="Y12" s="31" t="n">
        <v>5200</v>
      </c>
      <c r="Z12" s="33" t="inlineStr"/>
      <c r="AA12" s="31" t="n">
        <v>1600</v>
      </c>
      <c r="AB12" s="31" t="n">
        <v>16400</v>
      </c>
      <c r="AC12" s="31" t="n">
        <v>6400</v>
      </c>
      <c r="AD12" s="31" t="n">
        <v>6800</v>
      </c>
      <c r="AE12" s="31" t="n">
        <v>6800</v>
      </c>
      <c r="AF12" s="31" t="n">
        <v>13600</v>
      </c>
      <c r="AG12" s="31" t="n">
        <v>3000</v>
      </c>
      <c r="AH12" s="31" t="n">
        <v>6600</v>
      </c>
      <c r="AI12" s="31" t="n">
        <v>8000</v>
      </c>
      <c r="AJ12" s="31" t="n">
        <v>2400</v>
      </c>
      <c r="AK12" s="31" t="n">
        <v>16600</v>
      </c>
      <c r="AL12" s="31" t="n">
        <v>12600</v>
      </c>
      <c r="AM12" s="33" t="inlineStr"/>
      <c r="AN12" s="33" t="inlineStr"/>
      <c r="AO12" s="31" t="n">
        <v>1200</v>
      </c>
    </row>
    <row r="13" ht="36" customHeight="1">
      <c r="A13" s="4" t="inlineStr">
        <is>
          <t>21A1</t>
        </is>
      </c>
      <c r="B13" s="11" t="n">
        <v>29611</v>
      </c>
      <c r="C13" s="11" t="n">
        <v>52600</v>
      </c>
      <c r="D13" s="11" t="n">
        <v>63000</v>
      </c>
      <c r="E13" s="29" t="n">
        <v>145211</v>
      </c>
      <c r="F13" s="11" t="n">
        <v>1000</v>
      </c>
      <c r="G13" s="11" t="n">
        <v>4800</v>
      </c>
      <c r="H13" s="11" t="n">
        <v>3200</v>
      </c>
      <c r="I13" s="11" t="n">
        <v>1811</v>
      </c>
      <c r="J13" s="11" t="n">
        <v>1000</v>
      </c>
      <c r="K13" s="11" t="n">
        <v>1000</v>
      </c>
      <c r="L13" s="11" t="n">
        <v>3400</v>
      </c>
      <c r="M13" s="11" t="n">
        <v>1000</v>
      </c>
      <c r="N13" s="11" t="n">
        <v>800</v>
      </c>
      <c r="O13" s="11" t="n">
        <v>4000</v>
      </c>
      <c r="P13" s="11" t="n">
        <v>2200</v>
      </c>
      <c r="Q13" s="11" t="n">
        <v>5400</v>
      </c>
      <c r="R13" s="11" t="n">
        <v>9000</v>
      </c>
      <c r="S13" s="11" t="n">
        <v>1800</v>
      </c>
      <c r="T13" s="30" t="inlineStr"/>
      <c r="U13" s="11" t="n">
        <v>10600</v>
      </c>
      <c r="V13" s="11" t="n">
        <v>3000</v>
      </c>
      <c r="W13" s="11" t="n">
        <v>5600</v>
      </c>
      <c r="X13" s="11" t="n">
        <v>5400</v>
      </c>
      <c r="Y13" s="11" t="n">
        <v>1100</v>
      </c>
      <c r="Z13" s="11" t="n">
        <v>1500</v>
      </c>
      <c r="AA13" s="11" t="n">
        <v>2400</v>
      </c>
      <c r="AB13" s="11" t="n">
        <v>3800</v>
      </c>
      <c r="AC13" s="11" t="n">
        <v>8400</v>
      </c>
      <c r="AD13" s="11" t="n">
        <v>3400</v>
      </c>
      <c r="AE13" s="11" t="n">
        <v>9600</v>
      </c>
      <c r="AF13" s="11" t="n">
        <v>9000</v>
      </c>
      <c r="AG13" s="11" t="n">
        <v>3200</v>
      </c>
      <c r="AH13" s="11" t="n">
        <v>3300</v>
      </c>
      <c r="AI13" s="11" t="n">
        <v>6900</v>
      </c>
      <c r="AJ13" s="11" t="n">
        <v>3657</v>
      </c>
      <c r="AK13" s="11" t="n">
        <v>7600</v>
      </c>
      <c r="AL13" s="11" t="n">
        <v>10743</v>
      </c>
      <c r="AM13" s="11" t="n">
        <v>200</v>
      </c>
      <c r="AN13" s="11" t="n">
        <v>2000</v>
      </c>
      <c r="AO13" s="11" t="n">
        <v>3400</v>
      </c>
    </row>
    <row r="14" ht="36" customHeight="1">
      <c r="A14" s="4" t="inlineStr">
        <is>
          <t>21P1</t>
        </is>
      </c>
      <c r="B14" s="31" t="n">
        <v>11800</v>
      </c>
      <c r="C14" s="31" t="n">
        <v>4200</v>
      </c>
      <c r="D14" s="31" t="n">
        <v>21600</v>
      </c>
      <c r="E14" s="32" t="n">
        <v>37600</v>
      </c>
      <c r="F14" s="33" t="inlineStr"/>
      <c r="G14" s="33" t="inlineStr"/>
      <c r="H14" s="33" t="inlineStr"/>
      <c r="I14" s="33" t="inlineStr"/>
      <c r="J14" s="31" t="n">
        <v>1800</v>
      </c>
      <c r="K14" s="31" t="n">
        <v>1400</v>
      </c>
      <c r="L14" s="33" t="inlineStr"/>
      <c r="M14" s="31" t="n">
        <v>1000</v>
      </c>
      <c r="N14" s="31" t="n">
        <v>2600</v>
      </c>
      <c r="O14" s="31" t="n">
        <v>1200</v>
      </c>
      <c r="P14" s="31" t="n">
        <v>2000</v>
      </c>
      <c r="Q14" s="31" t="n">
        <v>1800</v>
      </c>
      <c r="R14" s="33" t="inlineStr"/>
      <c r="S14" s="33" t="inlineStr"/>
      <c r="T14" s="33" t="inlineStr"/>
      <c r="U14" s="31" t="n">
        <v>600</v>
      </c>
      <c r="V14" s="33" t="inlineStr"/>
      <c r="W14" s="33" t="inlineStr"/>
      <c r="X14" s="33" t="inlineStr"/>
      <c r="Y14" s="33" t="inlineStr"/>
      <c r="Z14" s="33" t="inlineStr"/>
      <c r="AA14" s="33" t="inlineStr"/>
      <c r="AB14" s="33" t="inlineStr"/>
      <c r="AC14" s="31" t="n">
        <v>3600</v>
      </c>
      <c r="AD14" s="31" t="n">
        <v>4200</v>
      </c>
      <c r="AE14" s="31" t="n">
        <v>3400</v>
      </c>
      <c r="AF14" s="31" t="n">
        <v>3000</v>
      </c>
      <c r="AG14" s="31" t="n">
        <v>11000</v>
      </c>
      <c r="AH14" s="33" t="inlineStr"/>
      <c r="AI14" s="33" t="inlineStr"/>
      <c r="AJ14" s="33" t="inlineStr"/>
      <c r="AK14" s="33" t="inlineStr"/>
      <c r="AL14" s="33" t="inlineStr"/>
      <c r="AM14" s="33" t="inlineStr"/>
      <c r="AN14" s="33" t="inlineStr"/>
      <c r="AO14" s="33" t="inlineStr"/>
    </row>
    <row r="15" ht="36" customHeight="1">
      <c r="A15" s="4" t="inlineStr">
        <is>
          <t>22A1 — Ahmedabad / Ankleshwar</t>
        </is>
      </c>
      <c r="B15" s="11" t="n">
        <v>1193631</v>
      </c>
      <c r="C15" s="11" t="n">
        <v>1009114</v>
      </c>
      <c r="D15" s="11" t="n">
        <v>981875</v>
      </c>
      <c r="E15" s="29" t="n">
        <v>3184620</v>
      </c>
      <c r="F15" s="11" t="n">
        <v>29820</v>
      </c>
      <c r="G15" s="11" t="n">
        <v>49980</v>
      </c>
      <c r="H15" s="11" t="n">
        <v>55350</v>
      </c>
      <c r="I15" s="11" t="n">
        <v>49870</v>
      </c>
      <c r="J15" s="11" t="n">
        <v>88000</v>
      </c>
      <c r="K15" s="11" t="n">
        <v>94950</v>
      </c>
      <c r="L15" s="11" t="n">
        <v>58430</v>
      </c>
      <c r="M15" s="11" t="n">
        <v>96700</v>
      </c>
      <c r="N15" s="11" t="n">
        <v>167700</v>
      </c>
      <c r="O15" s="11" t="n">
        <v>163270</v>
      </c>
      <c r="P15" s="11" t="n">
        <v>167910</v>
      </c>
      <c r="Q15" s="11" t="n">
        <v>171651</v>
      </c>
      <c r="R15" s="11" t="n">
        <v>97379</v>
      </c>
      <c r="S15" s="11" t="n">
        <v>74441</v>
      </c>
      <c r="T15" s="11" t="n">
        <v>47459</v>
      </c>
      <c r="U15" s="11" t="n">
        <v>116920</v>
      </c>
      <c r="V15" s="11" t="n">
        <v>48670</v>
      </c>
      <c r="W15" s="11" t="n">
        <v>76400</v>
      </c>
      <c r="X15" s="11" t="n">
        <v>120000</v>
      </c>
      <c r="Y15" s="11" t="n">
        <v>52050</v>
      </c>
      <c r="Z15" s="11" t="n">
        <v>20150</v>
      </c>
      <c r="AA15" s="11" t="n">
        <v>108700</v>
      </c>
      <c r="AB15" s="11" t="n">
        <v>130050</v>
      </c>
      <c r="AC15" s="11" t="n">
        <v>116895</v>
      </c>
      <c r="AD15" s="11" t="n">
        <v>110675</v>
      </c>
      <c r="AE15" s="11" t="n">
        <v>94690</v>
      </c>
      <c r="AF15" s="11" t="n">
        <v>36220</v>
      </c>
      <c r="AG15" s="11" t="n">
        <v>169485</v>
      </c>
      <c r="AH15" s="11" t="n">
        <v>82940</v>
      </c>
      <c r="AI15" s="11" t="n">
        <v>47060</v>
      </c>
      <c r="AJ15" s="11" t="n">
        <v>108780</v>
      </c>
      <c r="AK15" s="11" t="n">
        <v>54400</v>
      </c>
      <c r="AL15" s="11" t="n">
        <v>174900</v>
      </c>
      <c r="AM15" s="11" t="n">
        <v>36700</v>
      </c>
      <c r="AN15" s="11" t="n">
        <v>25625</v>
      </c>
      <c r="AO15" s="11" t="n">
        <v>40400</v>
      </c>
    </row>
    <row r="16" ht="36" customHeight="1">
      <c r="A16" s="4" t="inlineStr">
        <is>
          <t>25A1 — Rajasthan</t>
        </is>
      </c>
      <c r="B16" s="31" t="n">
        <v>194400</v>
      </c>
      <c r="C16" s="31" t="n">
        <v>494000</v>
      </c>
      <c r="D16" s="31" t="n">
        <v>252992</v>
      </c>
      <c r="E16" s="32" t="n">
        <v>941392</v>
      </c>
      <c r="F16" s="33" t="inlineStr"/>
      <c r="G16" s="33" t="inlineStr"/>
      <c r="H16" s="33" t="inlineStr"/>
      <c r="I16" s="33" t="inlineStr"/>
      <c r="J16" s="33" t="inlineStr"/>
      <c r="K16" s="33" t="inlineStr"/>
      <c r="L16" s="33" t="inlineStr"/>
      <c r="M16" s="31" t="n">
        <v>1200</v>
      </c>
      <c r="N16" s="31" t="n">
        <v>11000</v>
      </c>
      <c r="O16" s="31" t="n">
        <v>24400</v>
      </c>
      <c r="P16" s="31" t="n">
        <v>61400</v>
      </c>
      <c r="Q16" s="31" t="n">
        <v>96400</v>
      </c>
      <c r="R16" s="31" t="n">
        <v>39600</v>
      </c>
      <c r="S16" s="31" t="n">
        <v>37700</v>
      </c>
      <c r="T16" s="31" t="n">
        <v>27000</v>
      </c>
      <c r="U16" s="31" t="n">
        <v>31600</v>
      </c>
      <c r="V16" s="31" t="n">
        <v>9600</v>
      </c>
      <c r="W16" s="31" t="n">
        <v>15300</v>
      </c>
      <c r="X16" s="31" t="n">
        <v>15300</v>
      </c>
      <c r="Y16" s="31" t="n">
        <v>13600</v>
      </c>
      <c r="Z16" s="31" t="n">
        <v>14900</v>
      </c>
      <c r="AA16" s="31" t="n">
        <v>93400</v>
      </c>
      <c r="AB16" s="31" t="n">
        <v>80200</v>
      </c>
      <c r="AC16" s="31" t="n">
        <v>115800</v>
      </c>
      <c r="AD16" s="31" t="n">
        <v>17400</v>
      </c>
      <c r="AE16" s="31" t="n">
        <v>19800</v>
      </c>
      <c r="AF16" s="31" t="n">
        <v>33400</v>
      </c>
      <c r="AG16" s="31" t="n">
        <v>19500</v>
      </c>
      <c r="AH16" s="31" t="n">
        <v>32600</v>
      </c>
      <c r="AI16" s="31" t="n">
        <v>26100</v>
      </c>
      <c r="AJ16" s="31" t="n">
        <v>9900</v>
      </c>
      <c r="AK16" s="31" t="n">
        <v>16700</v>
      </c>
      <c r="AL16" s="31" t="n">
        <v>32000</v>
      </c>
      <c r="AM16" s="31" t="n">
        <v>30000</v>
      </c>
      <c r="AN16" s="31" t="n">
        <v>15592</v>
      </c>
      <c r="AO16" s="33" t="inlineStr"/>
    </row>
    <row r="17" ht="36" customHeight="1">
      <c r="A17" s="4" t="inlineStr">
        <is>
          <t>40A2</t>
        </is>
      </c>
      <c r="B17" s="11" t="n">
        <v>8</v>
      </c>
      <c r="C17" s="11" t="n">
        <v>0</v>
      </c>
      <c r="D17" s="11" t="n">
        <v>0</v>
      </c>
      <c r="E17" s="29" t="n">
        <v>8</v>
      </c>
      <c r="F17" s="30" t="inlineStr"/>
      <c r="G17" s="30" t="inlineStr"/>
      <c r="H17" s="30" t="inlineStr"/>
      <c r="I17" s="30" t="inlineStr"/>
      <c r="J17" s="30" t="inlineStr"/>
      <c r="K17" s="11" t="n">
        <v>8</v>
      </c>
      <c r="L17" s="30" t="inlineStr"/>
      <c r="M17" s="30" t="inlineStr"/>
      <c r="N17" s="30" t="inlineStr"/>
      <c r="O17" s="30" t="inlineStr"/>
      <c r="P17" s="30" t="inlineStr"/>
      <c r="Q17" s="30" t="inlineStr"/>
      <c r="R17" s="30" t="inlineStr"/>
      <c r="S17" s="30" t="inlineStr"/>
      <c r="T17" s="30" t="inlineStr"/>
      <c r="U17" s="30" t="inlineStr"/>
      <c r="V17" s="30" t="inlineStr"/>
      <c r="W17" s="30" t="inlineStr"/>
      <c r="X17" s="30" t="inlineStr"/>
      <c r="Y17" s="30" t="inlineStr"/>
      <c r="Z17" s="30" t="inlineStr"/>
      <c r="AA17" s="30" t="inlineStr"/>
      <c r="AB17" s="30" t="inlineStr"/>
      <c r="AC17" s="30" t="inlineStr"/>
      <c r="AD17" s="30" t="inlineStr"/>
      <c r="AE17" s="30" t="inlineStr"/>
      <c r="AF17" s="30" t="inlineStr"/>
      <c r="AG17" s="30" t="inlineStr"/>
      <c r="AH17" s="30" t="inlineStr"/>
      <c r="AI17" s="30" t="inlineStr"/>
      <c r="AJ17" s="30" t="inlineStr"/>
      <c r="AK17" s="30" t="inlineStr"/>
      <c r="AL17" s="30" t="inlineStr"/>
      <c r="AM17" s="30" t="inlineStr"/>
      <c r="AN17" s="30" t="inlineStr"/>
      <c r="AO17" s="30" t="inlineStr"/>
    </row>
    <row r="18" ht="36" customHeight="1">
      <c r="A18" s="4" t="inlineStr">
        <is>
          <t>40W2</t>
        </is>
      </c>
      <c r="B18" s="31" t="n">
        <v>2100</v>
      </c>
      <c r="C18" s="31" t="n">
        <v>1400</v>
      </c>
      <c r="D18" s="31" t="n">
        <v>4800</v>
      </c>
      <c r="E18" s="32" t="n">
        <v>8300</v>
      </c>
      <c r="F18" s="31" t="n">
        <v>2100</v>
      </c>
      <c r="G18" s="33" t="inlineStr"/>
      <c r="H18" s="33" t="inlineStr"/>
      <c r="I18" s="33" t="inlineStr"/>
      <c r="J18" s="33" t="inlineStr"/>
      <c r="K18" s="33" t="inlineStr"/>
      <c r="L18" s="33" t="inlineStr"/>
      <c r="M18" s="33" t="inlineStr"/>
      <c r="N18" s="33" t="inlineStr"/>
      <c r="O18" s="33" t="inlineStr"/>
      <c r="P18" s="33" t="inlineStr"/>
      <c r="Q18" s="33" t="inlineStr"/>
      <c r="R18" s="33" t="inlineStr"/>
      <c r="S18" s="33" t="inlineStr"/>
      <c r="T18" s="33" t="inlineStr"/>
      <c r="U18" s="33" t="inlineStr"/>
      <c r="V18" s="33" t="inlineStr"/>
      <c r="W18" s="33" t="inlineStr"/>
      <c r="X18" s="33" t="inlineStr"/>
      <c r="Y18" s="33" t="inlineStr"/>
      <c r="Z18" s="33" t="inlineStr"/>
      <c r="AA18" s="31" t="n">
        <v>1400</v>
      </c>
      <c r="AB18" s="33" t="inlineStr"/>
      <c r="AC18" s="33" t="inlineStr"/>
      <c r="AD18" s="33" t="inlineStr"/>
      <c r="AE18" s="33" t="inlineStr"/>
      <c r="AF18" s="33" t="inlineStr"/>
      <c r="AG18" s="33" t="inlineStr"/>
      <c r="AH18" s="33" t="inlineStr"/>
      <c r="AI18" s="31" t="n">
        <v>4200</v>
      </c>
      <c r="AJ18" s="33" t="inlineStr"/>
      <c r="AK18" s="33" t="inlineStr"/>
      <c r="AL18" s="31" t="n">
        <v>600</v>
      </c>
      <c r="AM18" s="33" t="inlineStr"/>
      <c r="AN18" s="33" t="inlineStr"/>
      <c r="AO18" s="33" t="inlineStr"/>
    </row>
    <row r="19" ht="36" customHeight="1">
      <c r="A19" s="4" t="inlineStr">
        <is>
          <t>41A1</t>
        </is>
      </c>
      <c r="B19" s="11" t="n">
        <v>10800</v>
      </c>
      <c r="C19" s="11" t="n">
        <v>55300</v>
      </c>
      <c r="D19" s="11" t="n">
        <v>34365</v>
      </c>
      <c r="E19" s="29" t="n">
        <v>100465</v>
      </c>
      <c r="F19" s="30" t="inlineStr"/>
      <c r="G19" s="30" t="inlineStr"/>
      <c r="H19" s="30" t="inlineStr"/>
      <c r="I19" s="30" t="inlineStr"/>
      <c r="J19" s="30" t="inlineStr"/>
      <c r="K19" s="30" t="inlineStr"/>
      <c r="L19" s="30" t="inlineStr"/>
      <c r="M19" s="11" t="n">
        <v>6000</v>
      </c>
      <c r="N19" s="30" t="inlineStr"/>
      <c r="O19" s="11" t="n">
        <v>1200</v>
      </c>
      <c r="P19" s="11" t="n">
        <v>3600</v>
      </c>
      <c r="Q19" s="30" t="inlineStr"/>
      <c r="R19" s="11" t="n">
        <v>2300</v>
      </c>
      <c r="S19" s="11" t="n">
        <v>7300</v>
      </c>
      <c r="T19" s="11" t="n">
        <v>10200</v>
      </c>
      <c r="U19" s="11" t="n">
        <v>4800</v>
      </c>
      <c r="V19" s="11" t="n">
        <v>4200</v>
      </c>
      <c r="W19" s="11" t="n">
        <v>1800</v>
      </c>
      <c r="X19" s="11" t="n">
        <v>6200</v>
      </c>
      <c r="Y19" s="11" t="n">
        <v>3100</v>
      </c>
      <c r="Z19" s="11" t="n">
        <v>4600</v>
      </c>
      <c r="AA19" s="11" t="n">
        <v>1600</v>
      </c>
      <c r="AB19" s="11" t="n">
        <v>7600</v>
      </c>
      <c r="AC19" s="11" t="n">
        <v>1600</v>
      </c>
      <c r="AD19" s="11" t="n">
        <v>5600</v>
      </c>
      <c r="AE19" s="30" t="inlineStr"/>
      <c r="AF19" s="30" t="inlineStr"/>
      <c r="AG19" s="11" t="n">
        <v>7800</v>
      </c>
      <c r="AH19" s="30" t="inlineStr"/>
      <c r="AI19" s="11" t="n">
        <v>3630</v>
      </c>
      <c r="AJ19" s="11" t="n">
        <v>5210</v>
      </c>
      <c r="AK19" s="30" t="inlineStr"/>
      <c r="AL19" s="11" t="n">
        <v>6160</v>
      </c>
      <c r="AM19" s="11" t="n">
        <v>3165</v>
      </c>
      <c r="AN19" s="30" t="inlineStr"/>
      <c r="AO19" s="11" t="n">
        <v>2800</v>
      </c>
    </row>
    <row r="20" ht="36" customHeight="1">
      <c r="A20" s="4" t="inlineStr">
        <is>
          <t>41A2</t>
        </is>
      </c>
      <c r="B20" s="31" t="n">
        <v>5400</v>
      </c>
      <c r="C20" s="31" t="n">
        <v>0</v>
      </c>
      <c r="D20" s="31" t="n">
        <v>0</v>
      </c>
      <c r="E20" s="32" t="n">
        <v>5400</v>
      </c>
      <c r="F20" s="33" t="inlineStr"/>
      <c r="G20" s="33" t="inlineStr"/>
      <c r="H20" s="31" t="n">
        <v>5400</v>
      </c>
      <c r="I20" s="33" t="inlineStr"/>
      <c r="J20" s="33" t="inlineStr"/>
      <c r="K20" s="33" t="inlineStr"/>
      <c r="L20" s="33" t="inlineStr"/>
      <c r="M20" s="33" t="inlineStr"/>
      <c r="N20" s="33" t="inlineStr"/>
      <c r="O20" s="33" t="inlineStr"/>
      <c r="P20" s="33" t="inlineStr"/>
      <c r="Q20" s="33" t="inlineStr"/>
      <c r="R20" s="33" t="inlineStr"/>
      <c r="S20" s="33" t="inlineStr"/>
      <c r="T20" s="33" t="inlineStr"/>
      <c r="U20" s="33" t="inlineStr"/>
      <c r="V20" s="33" t="inlineStr"/>
      <c r="W20" s="33" t="inlineStr"/>
      <c r="X20" s="33" t="inlineStr"/>
      <c r="Y20" s="33" t="inlineStr"/>
      <c r="Z20" s="33" t="inlineStr"/>
      <c r="AA20" s="33" t="inlineStr"/>
      <c r="AB20" s="33" t="inlineStr"/>
      <c r="AC20" s="33" t="inlineStr"/>
      <c r="AD20" s="33" t="inlineStr"/>
      <c r="AE20" s="33" t="inlineStr"/>
      <c r="AF20" s="33" t="inlineStr"/>
      <c r="AG20" s="33" t="inlineStr"/>
      <c r="AH20" s="33" t="inlineStr"/>
      <c r="AI20" s="33" t="inlineStr"/>
      <c r="AJ20" s="33" t="inlineStr"/>
      <c r="AK20" s="33" t="inlineStr"/>
      <c r="AL20" s="33" t="inlineStr"/>
      <c r="AM20" s="33" t="inlineStr"/>
      <c r="AN20" s="33" t="inlineStr"/>
      <c r="AO20" s="33" t="inlineStr"/>
    </row>
    <row r="21" ht="36" customHeight="1">
      <c r="A21" s="4" t="inlineStr">
        <is>
          <t>41B1</t>
        </is>
      </c>
      <c r="B21" s="11" t="n">
        <v>0</v>
      </c>
      <c r="C21" s="11" t="n">
        <v>0</v>
      </c>
      <c r="D21" s="11" t="n">
        <v>20</v>
      </c>
      <c r="E21" s="29" t="n">
        <v>20</v>
      </c>
      <c r="F21" s="30" t="inlineStr"/>
      <c r="G21" s="30" t="inlineStr"/>
      <c r="H21" s="30" t="inlineStr"/>
      <c r="I21" s="30" t="inlineStr"/>
      <c r="J21" s="30" t="inlineStr"/>
      <c r="K21" s="30" t="inlineStr"/>
      <c r="L21" s="30" t="inlineStr"/>
      <c r="M21" s="30" t="inlineStr"/>
      <c r="N21" s="30" t="inlineStr"/>
      <c r="O21" s="30" t="inlineStr"/>
      <c r="P21" s="30" t="inlineStr"/>
      <c r="Q21" s="30" t="inlineStr"/>
      <c r="R21" s="30" t="inlineStr"/>
      <c r="S21" s="30" t="inlineStr"/>
      <c r="T21" s="30" t="inlineStr"/>
      <c r="U21" s="30" t="inlineStr"/>
      <c r="V21" s="30" t="inlineStr"/>
      <c r="W21" s="30" t="inlineStr"/>
      <c r="X21" s="30" t="inlineStr"/>
      <c r="Y21" s="30" t="inlineStr"/>
      <c r="Z21" s="30" t="inlineStr"/>
      <c r="AA21" s="30" t="inlineStr"/>
      <c r="AB21" s="30" t="inlineStr"/>
      <c r="AC21" s="30" t="inlineStr"/>
      <c r="AD21" s="30" t="inlineStr"/>
      <c r="AE21" s="30" t="inlineStr"/>
      <c r="AF21" s="30" t="inlineStr"/>
      <c r="AG21" s="30" t="inlineStr"/>
      <c r="AH21" s="30" t="inlineStr"/>
      <c r="AI21" s="11" t="n">
        <v>20</v>
      </c>
      <c r="AJ21" s="30" t="inlineStr"/>
      <c r="AK21" s="30" t="inlineStr"/>
      <c r="AL21" s="30" t="inlineStr"/>
      <c r="AM21" s="30" t="inlineStr"/>
      <c r="AN21" s="30" t="inlineStr"/>
      <c r="AO21" s="30" t="inlineStr"/>
    </row>
    <row r="22" ht="36" customHeight="1">
      <c r="A22" s="4" t="inlineStr">
        <is>
          <t>41W1</t>
        </is>
      </c>
      <c r="B22" s="31" t="n">
        <v>0</v>
      </c>
      <c r="C22" s="31" t="n">
        <v>1800</v>
      </c>
      <c r="D22" s="31" t="n">
        <v>0</v>
      </c>
      <c r="E22" s="32" t="n">
        <v>1800</v>
      </c>
      <c r="F22" s="33" t="inlineStr"/>
      <c r="G22" s="33" t="inlineStr"/>
      <c r="H22" s="33" t="inlineStr"/>
      <c r="I22" s="33" t="inlineStr"/>
      <c r="J22" s="33" t="inlineStr"/>
      <c r="K22" s="33" t="inlineStr"/>
      <c r="L22" s="33" t="inlineStr"/>
      <c r="M22" s="33" t="inlineStr"/>
      <c r="N22" s="33" t="inlineStr"/>
      <c r="O22" s="33" t="inlineStr"/>
      <c r="P22" s="33" t="inlineStr"/>
      <c r="Q22" s="33" t="inlineStr"/>
      <c r="R22" s="33" t="inlineStr"/>
      <c r="S22" s="31" t="n">
        <v>1800</v>
      </c>
      <c r="T22" s="33" t="inlineStr"/>
      <c r="U22" s="33" t="inlineStr"/>
      <c r="V22" s="33" t="inlineStr"/>
      <c r="W22" s="33" t="inlineStr"/>
      <c r="X22" s="33" t="inlineStr"/>
      <c r="Y22" s="33" t="inlineStr"/>
      <c r="Z22" s="33" t="inlineStr"/>
      <c r="AA22" s="33" t="inlineStr"/>
      <c r="AB22" s="33" t="inlineStr"/>
      <c r="AC22" s="33" t="inlineStr"/>
      <c r="AD22" s="33" t="inlineStr"/>
      <c r="AE22" s="33" t="inlineStr"/>
      <c r="AF22" s="33" t="inlineStr"/>
      <c r="AG22" s="33" t="inlineStr"/>
      <c r="AH22" s="33" t="inlineStr"/>
      <c r="AI22" s="33" t="inlineStr"/>
      <c r="AJ22" s="33" t="inlineStr"/>
      <c r="AK22" s="33" t="inlineStr"/>
      <c r="AL22" s="33" t="inlineStr"/>
      <c r="AM22" s="33" t="inlineStr"/>
      <c r="AN22" s="33" t="inlineStr"/>
      <c r="AO22" s="33" t="inlineStr"/>
    </row>
    <row r="23" ht="36" customHeight="1">
      <c r="A23" s="4" t="inlineStr">
        <is>
          <t>50A1 — Tripura</t>
        </is>
      </c>
      <c r="B23" s="11" t="n">
        <v>146389</v>
      </c>
      <c r="C23" s="11" t="n">
        <v>313536</v>
      </c>
      <c r="D23" s="11" t="n">
        <v>289215</v>
      </c>
      <c r="E23" s="29" t="n">
        <v>749140</v>
      </c>
      <c r="F23" s="30" t="inlineStr"/>
      <c r="G23" s="30" t="inlineStr"/>
      <c r="H23" s="30" t="inlineStr"/>
      <c r="I23" s="11" t="n">
        <v>4800</v>
      </c>
      <c r="J23" s="11" t="n">
        <v>15380</v>
      </c>
      <c r="K23" s="11" t="n">
        <v>16160</v>
      </c>
      <c r="L23" s="11" t="n">
        <v>16210</v>
      </c>
      <c r="M23" s="11" t="n">
        <v>17450</v>
      </c>
      <c r="N23" s="11" t="n">
        <v>14850</v>
      </c>
      <c r="O23" s="11" t="n">
        <v>13590</v>
      </c>
      <c r="P23" s="11" t="n">
        <v>20340</v>
      </c>
      <c r="Q23" s="11" t="n">
        <v>27609</v>
      </c>
      <c r="R23" s="11" t="n">
        <v>10355</v>
      </c>
      <c r="S23" s="11" t="n">
        <v>16941</v>
      </c>
      <c r="T23" s="11" t="n">
        <v>20285</v>
      </c>
      <c r="U23" s="11" t="n">
        <v>15849</v>
      </c>
      <c r="V23" s="11" t="n">
        <v>26645</v>
      </c>
      <c r="W23" s="11" t="n">
        <v>33650</v>
      </c>
      <c r="X23" s="11" t="n">
        <v>34723</v>
      </c>
      <c r="Y23" s="11" t="n">
        <v>30770</v>
      </c>
      <c r="Z23" s="11" t="n">
        <v>35103</v>
      </c>
      <c r="AA23" s="11" t="n">
        <v>36080</v>
      </c>
      <c r="AB23" s="11" t="n">
        <v>15350</v>
      </c>
      <c r="AC23" s="11" t="n">
        <v>37785</v>
      </c>
      <c r="AD23" s="11" t="n">
        <v>18775</v>
      </c>
      <c r="AE23" s="11" t="n">
        <v>30760</v>
      </c>
      <c r="AF23" s="11" t="n">
        <v>19280</v>
      </c>
      <c r="AG23" s="11" t="n">
        <v>19140</v>
      </c>
      <c r="AH23" s="11" t="n">
        <v>23792</v>
      </c>
      <c r="AI23" s="11" t="n">
        <v>24028</v>
      </c>
      <c r="AJ23" s="11" t="n">
        <v>22960</v>
      </c>
      <c r="AK23" s="11" t="n">
        <v>29343</v>
      </c>
      <c r="AL23" s="11" t="n">
        <v>35350</v>
      </c>
      <c r="AM23" s="11" t="n">
        <v>23787</v>
      </c>
      <c r="AN23" s="11" t="n">
        <v>36200</v>
      </c>
      <c r="AO23" s="11" t="n">
        <v>5800</v>
      </c>
    </row>
    <row r="24" ht="36" customHeight="1">
      <c r="A24" s="4" t="inlineStr">
        <is>
          <t>51A1 — Assam</t>
        </is>
      </c>
      <c r="B24" s="31" t="n">
        <v>85990</v>
      </c>
      <c r="C24" s="31" t="n">
        <v>23520</v>
      </c>
      <c r="D24" s="31" t="n">
        <v>76260</v>
      </c>
      <c r="E24" s="32" t="n">
        <v>185770</v>
      </c>
      <c r="F24" s="33" t="inlineStr"/>
      <c r="G24" s="31" t="n">
        <v>800</v>
      </c>
      <c r="H24" s="31" t="n">
        <v>11000</v>
      </c>
      <c r="I24" s="31" t="n">
        <v>13200</v>
      </c>
      <c r="J24" s="31" t="n">
        <v>7000</v>
      </c>
      <c r="K24" s="31" t="n">
        <v>12800</v>
      </c>
      <c r="L24" s="31" t="n">
        <v>11520</v>
      </c>
      <c r="M24" s="31" t="n">
        <v>6870</v>
      </c>
      <c r="N24" s="31" t="n">
        <v>6000</v>
      </c>
      <c r="O24" s="31" t="n">
        <v>7536</v>
      </c>
      <c r="P24" s="31" t="n">
        <v>5810</v>
      </c>
      <c r="Q24" s="31" t="n">
        <v>3454</v>
      </c>
      <c r="R24" s="31" t="n">
        <v>1800</v>
      </c>
      <c r="S24" s="31" t="n">
        <v>3200</v>
      </c>
      <c r="T24" s="31" t="n">
        <v>1000</v>
      </c>
      <c r="U24" s="31" t="n">
        <v>3100</v>
      </c>
      <c r="V24" s="31" t="n">
        <v>3900</v>
      </c>
      <c r="W24" s="33" t="inlineStr"/>
      <c r="X24" s="33" t="inlineStr"/>
      <c r="Y24" s="33" t="inlineStr"/>
      <c r="Z24" s="33" t="inlineStr"/>
      <c r="AA24" s="31" t="n">
        <v>5320</v>
      </c>
      <c r="AB24" s="31" t="n">
        <v>2800</v>
      </c>
      <c r="AC24" s="31" t="n">
        <v>2400</v>
      </c>
      <c r="AD24" s="31" t="n">
        <v>4200</v>
      </c>
      <c r="AE24" s="31" t="n">
        <v>2600</v>
      </c>
      <c r="AF24" s="31" t="n">
        <v>4100</v>
      </c>
      <c r="AG24" s="31" t="n">
        <v>12250</v>
      </c>
      <c r="AH24" s="33" t="inlineStr"/>
      <c r="AI24" s="31" t="n">
        <v>6800</v>
      </c>
      <c r="AJ24" s="31" t="n">
        <v>500</v>
      </c>
      <c r="AK24" s="31" t="n">
        <v>4600</v>
      </c>
      <c r="AL24" s="31" t="n">
        <v>11200</v>
      </c>
      <c r="AM24" s="31" t="n">
        <v>7200</v>
      </c>
      <c r="AN24" s="31" t="n">
        <v>22810</v>
      </c>
      <c r="AO24" s="33" t="inlineStr"/>
    </row>
    <row r="25" ht="36" customHeight="1">
      <c r="A25" s="4" t="inlineStr">
        <is>
          <t>70T2</t>
        </is>
      </c>
      <c r="B25" s="11" t="n">
        <v>25</v>
      </c>
      <c r="C25" s="11" t="n">
        <v>0</v>
      </c>
      <c r="D25" s="11" t="n">
        <v>0</v>
      </c>
      <c r="E25" s="29" t="n">
        <v>25</v>
      </c>
      <c r="F25" s="30" t="inlineStr"/>
      <c r="G25" s="30" t="inlineStr"/>
      <c r="H25" s="30" t="inlineStr"/>
      <c r="I25" s="30" t="inlineStr"/>
      <c r="J25" s="30" t="inlineStr"/>
      <c r="K25" s="30" t="inlineStr"/>
      <c r="L25" s="30" t="inlineStr"/>
      <c r="M25" s="30" t="inlineStr"/>
      <c r="N25" s="11" t="n">
        <v>25</v>
      </c>
      <c r="O25" s="30" t="inlineStr"/>
      <c r="P25" s="30" t="inlineStr"/>
      <c r="Q25" s="30" t="inlineStr"/>
      <c r="R25" s="30" t="inlineStr"/>
      <c r="S25" s="30" t="inlineStr"/>
      <c r="T25" s="30" t="inlineStr"/>
      <c r="U25" s="30" t="inlineStr"/>
      <c r="V25" s="30" t="inlineStr"/>
      <c r="W25" s="30" t="inlineStr"/>
      <c r="X25" s="30" t="inlineStr"/>
      <c r="Y25" s="30" t="inlineStr"/>
      <c r="Z25" s="30" t="inlineStr"/>
      <c r="AA25" s="30" t="inlineStr"/>
      <c r="AB25" s="30" t="inlineStr"/>
      <c r="AC25" s="30" t="inlineStr"/>
      <c r="AD25" s="30" t="inlineStr"/>
      <c r="AE25" s="30" t="inlineStr"/>
      <c r="AF25" s="30" t="inlineStr"/>
      <c r="AG25" s="30" t="inlineStr"/>
      <c r="AH25" s="30" t="inlineStr"/>
      <c r="AI25" s="30" t="inlineStr"/>
      <c r="AJ25" s="30" t="inlineStr"/>
      <c r="AK25" s="30" t="inlineStr"/>
      <c r="AL25" s="30" t="inlineStr"/>
      <c r="AM25" s="30" t="inlineStr"/>
      <c r="AN25" s="30" t="inlineStr"/>
      <c r="AO25" s="30" t="inlineStr"/>
    </row>
  </sheetData>
  <mergeCells count="6">
    <mergeCell ref="A2:AO2"/>
    <mergeCell ref="R3:AC3"/>
    <mergeCell ref="A1:AO1"/>
    <mergeCell ref="B3:E3"/>
    <mergeCell ref="F3:Q3"/>
    <mergeCell ref="AD3:AO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Avg Monthly Consumption</t>
        </is>
      </c>
    </row>
    <row r="2">
      <c r="A2" t="inlineStr">
        <is>
          <t>XYLENE</t>
        </is>
      </c>
      <c r="B2" t="n">
        <v>340094</v>
      </c>
    </row>
    <row r="14">
      <c r="A14" t="inlineStr">
        <is>
          <t>Material</t>
        </is>
      </c>
      <c r="B14" t="inlineStr">
        <is>
          <t>Total Procurement Value (INR)</t>
        </is>
      </c>
    </row>
    <row r="15">
      <c r="A15" t="inlineStr">
        <is>
          <t>XYLENE</t>
        </is>
      </c>
      <c r="B15" t="n">
        <v>1454791054.23</v>
      </c>
    </row>
    <row r="28">
      <c r="A28" t="inlineStr">
        <is>
          <t>Month</t>
        </is>
      </c>
      <c r="B28" t="inlineStr">
        <is>
          <t>Total Consumption</t>
        </is>
      </c>
      <c r="C28" t="inlineStr">
        <is>
          <t>Cumulative %</t>
        </is>
      </c>
    </row>
    <row r="29">
      <c r="A29" t="inlineStr">
        <is>
          <t>Dec-2025</t>
        </is>
      </c>
      <c r="B29" t="n">
        <v>880801</v>
      </c>
      <c r="C29" t="n">
        <v>7.2</v>
      </c>
    </row>
    <row r="30">
      <c r="A30" t="inlineStr">
        <is>
          <t>Jan-2025</t>
        </is>
      </c>
      <c r="B30" t="n">
        <v>571300</v>
      </c>
      <c r="C30" t="n">
        <v>11.9</v>
      </c>
    </row>
    <row r="31">
      <c r="A31" t="inlineStr">
        <is>
          <t>Mar-2024</t>
        </is>
      </c>
      <c r="B31" t="n">
        <v>566513.6</v>
      </c>
      <c r="C31" t="n">
        <v>16.5</v>
      </c>
    </row>
    <row r="32">
      <c r="A32" t="inlineStr">
        <is>
          <t>Mar-2025</t>
        </is>
      </c>
      <c r="B32" t="n">
        <v>562480</v>
      </c>
      <c r="C32" t="n">
        <v>21.1</v>
      </c>
    </row>
    <row r="33">
      <c r="A33" t="inlineStr">
        <is>
          <t>Feb-2025</t>
        </is>
      </c>
      <c r="B33" t="n">
        <v>506200</v>
      </c>
      <c r="C33" t="n">
        <v>25.2</v>
      </c>
    </row>
    <row r="34">
      <c r="A34" t="inlineStr">
        <is>
          <t>Feb-2024</t>
        </is>
      </c>
      <c r="B34" t="n">
        <v>482260.24</v>
      </c>
      <c r="C34" t="n">
        <v>29.2</v>
      </c>
    </row>
    <row r="35">
      <c r="A35" t="inlineStr">
        <is>
          <t>Jan-2024</t>
        </is>
      </c>
      <c r="B35" t="n">
        <v>450596</v>
      </c>
      <c r="C35" t="n">
        <v>32.8</v>
      </c>
    </row>
    <row r="36">
      <c r="A36" t="inlineStr">
        <is>
          <t>Dec-2023</t>
        </is>
      </c>
      <c r="B36" t="n">
        <v>435158</v>
      </c>
      <c r="C36" t="n">
        <v>36.4</v>
      </c>
    </row>
    <row r="37">
      <c r="A37" t="inlineStr">
        <is>
          <t>Jul-2024</t>
        </is>
      </c>
      <c r="B37" t="n">
        <v>423669</v>
      </c>
      <c r="C37" t="n">
        <v>39.8</v>
      </c>
    </row>
    <row r="38">
      <c r="A38" t="inlineStr">
        <is>
          <t>Oct-2024</t>
        </is>
      </c>
      <c r="B38" t="n">
        <v>416923.4</v>
      </c>
      <c r="C38" t="n">
        <v>43.3</v>
      </c>
    </row>
    <row r="39">
      <c r="A39" t="inlineStr">
        <is>
          <t>Sep-2025</t>
        </is>
      </c>
      <c r="B39" t="n">
        <v>392773</v>
      </c>
      <c r="C39" t="n">
        <v>46.5</v>
      </c>
    </row>
    <row r="40">
      <c r="A40" t="inlineStr">
        <is>
          <t>Apr-2025</t>
        </is>
      </c>
      <c r="B40" t="n">
        <v>392450</v>
      </c>
      <c r="C40" t="n">
        <v>49.7</v>
      </c>
    </row>
    <row r="41">
      <c r="A41" t="inlineStr">
        <is>
          <t>Sep-2024</t>
        </is>
      </c>
      <c r="B41" t="n">
        <v>372750</v>
      </c>
      <c r="C41" t="n">
        <v>52.7</v>
      </c>
    </row>
    <row r="42">
      <c r="A42" t="inlineStr">
        <is>
          <t>Nov-2025</t>
        </is>
      </c>
      <c r="B42" t="n">
        <v>368299</v>
      </c>
      <c r="C42" t="n">
        <v>55.7</v>
      </c>
    </row>
    <row r="43">
      <c r="A43" t="inlineStr">
        <is>
          <t>Nov-2023</t>
        </is>
      </c>
      <c r="B43" t="n">
        <v>357820</v>
      </c>
      <c r="C43" t="n">
        <v>58.6</v>
      </c>
    </row>
    <row r="44">
      <c r="A44" t="inlineStr">
        <is>
          <t>Aug-2024</t>
        </is>
      </c>
      <c r="B44" t="n">
        <v>326835</v>
      </c>
      <c r="C44" t="n">
        <v>61.3</v>
      </c>
    </row>
    <row r="45">
      <c r="A45" t="inlineStr">
        <is>
          <t>May-2025</t>
        </is>
      </c>
      <c r="B45" t="n">
        <v>325250</v>
      </c>
      <c r="C45" t="n">
        <v>64</v>
      </c>
    </row>
    <row r="46">
      <c r="A46" t="inlineStr">
        <is>
          <t>Jul-2025</t>
        </is>
      </c>
      <c r="B46" t="n">
        <v>319575</v>
      </c>
      <c r="C46" t="n">
        <v>66.59999999999999</v>
      </c>
    </row>
    <row r="47">
      <c r="A47" t="inlineStr">
        <is>
          <t>Jun-2024</t>
        </is>
      </c>
      <c r="B47" t="n">
        <v>317044.4</v>
      </c>
      <c r="C47" t="n">
        <v>69.2</v>
      </c>
    </row>
    <row r="48">
      <c r="A48" t="inlineStr">
        <is>
          <t>Apr-2024</t>
        </is>
      </c>
      <c r="B48" t="n">
        <v>308234.6</v>
      </c>
      <c r="C48" t="n">
        <v>71.7</v>
      </c>
    </row>
    <row r="49">
      <c r="A49" t="inlineStr">
        <is>
          <t>May-2024</t>
        </is>
      </c>
      <c r="B49" t="n">
        <v>305281.76</v>
      </c>
      <c r="C49" t="n">
        <v>74.2</v>
      </c>
    </row>
    <row r="50">
      <c r="A50" t="inlineStr">
        <is>
          <t>Jun-2025</t>
        </is>
      </c>
      <c r="B50" t="n">
        <v>291000</v>
      </c>
      <c r="C50" t="n">
        <v>76.59999999999999</v>
      </c>
    </row>
    <row r="51">
      <c r="A51" t="inlineStr">
        <is>
          <t>Aug-2023</t>
        </is>
      </c>
      <c r="B51" t="n">
        <v>290640</v>
      </c>
      <c r="C51" t="n">
        <v>78.90000000000001</v>
      </c>
    </row>
    <row r="52">
      <c r="A52" t="inlineStr">
        <is>
          <t>Jul-2023</t>
        </is>
      </c>
      <c r="B52" t="n">
        <v>277882.42</v>
      </c>
      <c r="C52" t="n">
        <v>81.2</v>
      </c>
    </row>
    <row r="53">
      <c r="A53" t="inlineStr">
        <is>
          <t>Sep-2023</t>
        </is>
      </c>
      <c r="B53" t="n">
        <v>277657.5</v>
      </c>
      <c r="C53" t="n">
        <v>83.5</v>
      </c>
    </row>
    <row r="54">
      <c r="A54" t="inlineStr">
        <is>
          <t>Aug-2025</t>
        </is>
      </c>
      <c r="B54" t="n">
        <v>257732</v>
      </c>
      <c r="C54" t="n">
        <v>85.59999999999999</v>
      </c>
    </row>
    <row r="55">
      <c r="A55" t="inlineStr">
        <is>
          <t>Oct-2023</t>
        </is>
      </c>
      <c r="B55" t="n">
        <v>253376.4</v>
      </c>
      <c r="C55" t="n">
        <v>87.59999999999999</v>
      </c>
    </row>
    <row r="56">
      <c r="A56" t="inlineStr">
        <is>
          <t>Oct-2025</t>
        </is>
      </c>
      <c r="B56" t="n">
        <v>220268</v>
      </c>
      <c r="C56" t="n">
        <v>89.40000000000001</v>
      </c>
    </row>
    <row r="57">
      <c r="A57" t="inlineStr">
        <is>
          <t>Nov-2024</t>
        </is>
      </c>
      <c r="B57" t="n">
        <v>189620</v>
      </c>
      <c r="C57" t="n">
        <v>91</v>
      </c>
    </row>
    <row r="58">
      <c r="A58" t="inlineStr">
        <is>
          <t>May-2023</t>
        </is>
      </c>
      <c r="B58" t="n">
        <v>186580</v>
      </c>
      <c r="C58" t="n">
        <v>92.5</v>
      </c>
    </row>
    <row r="59">
      <c r="A59" t="inlineStr">
        <is>
          <t>Feb-2026</t>
        </is>
      </c>
      <c r="B59" t="n">
        <v>184626.6</v>
      </c>
      <c r="C59" t="n">
        <v>94</v>
      </c>
    </row>
    <row r="60">
      <c r="A60" t="inlineStr">
        <is>
          <t>Dec-2024</t>
        </is>
      </c>
      <c r="B60" t="n">
        <v>177653</v>
      </c>
      <c r="C60" t="n">
        <v>95.5</v>
      </c>
    </row>
    <row r="61">
      <c r="A61" t="inlineStr">
        <is>
          <t>Jan-2026</t>
        </is>
      </c>
      <c r="B61" t="n">
        <v>175152</v>
      </c>
      <c r="C61" t="n">
        <v>96.90000000000001</v>
      </c>
    </row>
    <row r="62">
      <c r="A62" t="inlineStr">
        <is>
          <t>Jun-2023</t>
        </is>
      </c>
      <c r="B62" t="n">
        <v>163550</v>
      </c>
      <c r="C62" t="n">
        <v>98.2</v>
      </c>
    </row>
    <row r="63">
      <c r="A63" t="inlineStr">
        <is>
          <t>Apr-2023</t>
        </is>
      </c>
      <c r="B63" t="n">
        <v>138920</v>
      </c>
      <c r="C63" t="n">
        <v>99.40000000000001</v>
      </c>
    </row>
    <row r="64">
      <c r="A64" t="inlineStr">
        <is>
          <t>Mar-2026</t>
        </is>
      </c>
      <c r="B64" t="n">
        <v>76500</v>
      </c>
      <c r="C64" t="n">
        <v>100</v>
      </c>
    </row>
    <row r="69">
      <c r="A69" t="inlineStr">
        <is>
          <t>Month</t>
        </is>
      </c>
      <c r="B69" t="inlineStr">
        <is>
          <t>Total Proc Value (INR)</t>
        </is>
      </c>
      <c r="C69" t="inlineStr">
        <is>
          <t>Cumulative %</t>
        </is>
      </c>
    </row>
    <row r="70">
      <c r="A70" t="inlineStr">
        <is>
          <t>Oct-2025</t>
        </is>
      </c>
      <c r="B70" t="n">
        <v>644142379.1</v>
      </c>
      <c r="C70" t="n">
        <v>44.3</v>
      </c>
    </row>
    <row r="71">
      <c r="A71" t="inlineStr">
        <is>
          <t>Jan-2024</t>
        </is>
      </c>
      <c r="B71" t="n">
        <v>260694976.95</v>
      </c>
      <c r="C71" t="n">
        <v>62.2</v>
      </c>
    </row>
    <row r="72">
      <c r="A72" t="inlineStr">
        <is>
          <t>Oct-2024</t>
        </is>
      </c>
      <c r="B72" t="n">
        <v>195732410</v>
      </c>
      <c r="C72" t="n">
        <v>75.7</v>
      </c>
    </row>
    <row r="73">
      <c r="A73" t="inlineStr">
        <is>
          <t>Jun-2023</t>
        </is>
      </c>
      <c r="B73" t="n">
        <v>76857760</v>
      </c>
      <c r="C73" t="n">
        <v>80.90000000000001</v>
      </c>
    </row>
    <row r="74">
      <c r="A74" t="inlineStr">
        <is>
          <t>May-2024</t>
        </is>
      </c>
      <c r="B74" t="n">
        <v>70658560</v>
      </c>
      <c r="C74" t="n">
        <v>85.8</v>
      </c>
    </row>
    <row r="75">
      <c r="A75" t="inlineStr">
        <is>
          <t>Jul-2023</t>
        </is>
      </c>
      <c r="B75" t="n">
        <v>47165156</v>
      </c>
      <c r="C75" t="n">
        <v>89</v>
      </c>
    </row>
    <row r="76">
      <c r="A76" t="inlineStr">
        <is>
          <t>Aug-2023</t>
        </is>
      </c>
      <c r="B76" t="n">
        <v>37616598.9</v>
      </c>
      <c r="C76" t="n">
        <v>91.59999999999999</v>
      </c>
    </row>
    <row r="77">
      <c r="A77" t="inlineStr">
        <is>
          <t>Sep-2023</t>
        </is>
      </c>
      <c r="B77" t="n">
        <v>36288000</v>
      </c>
      <c r="C77" t="n">
        <v>94.09999999999999</v>
      </c>
    </row>
    <row r="78">
      <c r="A78" t="inlineStr">
        <is>
          <t>Jul-2025</t>
        </is>
      </c>
      <c r="B78" t="n">
        <v>34782328</v>
      </c>
      <c r="C78" t="n">
        <v>96.5</v>
      </c>
    </row>
    <row r="79">
      <c r="A79" t="inlineStr">
        <is>
          <t>Dec-2023</t>
        </is>
      </c>
      <c r="B79" t="n">
        <v>26674200</v>
      </c>
      <c r="C79" t="n">
        <v>98.3</v>
      </c>
    </row>
    <row r="80">
      <c r="A80" t="inlineStr">
        <is>
          <t>Mar-2025</t>
        </is>
      </c>
      <c r="B80" t="n">
        <v>17254998.55</v>
      </c>
      <c r="C80" t="n">
        <v>99.5</v>
      </c>
    </row>
    <row r="81">
      <c r="A81" t="inlineStr">
        <is>
          <t>Nov-2023</t>
        </is>
      </c>
      <c r="B81" t="n">
        <v>5355899.73</v>
      </c>
      <c r="C81" t="n">
        <v>99.90000000000001</v>
      </c>
    </row>
    <row r="82">
      <c r="A82" t="inlineStr">
        <is>
          <t>Apr-2023</t>
        </is>
      </c>
      <c r="B82" t="n">
        <v>887040</v>
      </c>
      <c r="C82" t="n">
        <v>100</v>
      </c>
    </row>
    <row r="83">
      <c r="A83" t="inlineStr">
        <is>
          <t>Sep-2024</t>
        </is>
      </c>
      <c r="B83" t="n">
        <v>680747</v>
      </c>
      <c r="C83" t="n">
        <v>100</v>
      </c>
    </row>
    <row r="88">
      <c r="A88" t="inlineStr">
        <is>
          <t>Material</t>
        </is>
      </c>
      <c r="B88" t="inlineStr">
        <is>
          <t>FY23-24</t>
        </is>
      </c>
      <c r="C88" t="inlineStr">
        <is>
          <t>FY24-25</t>
        </is>
      </c>
      <c r="D88" t="inlineStr">
        <is>
          <t>FY25-26</t>
        </is>
      </c>
    </row>
    <row r="89">
      <c r="A89" t="inlineStr">
        <is>
          <t>XYLENE</t>
        </is>
      </c>
      <c r="B89" t="n">
        <v>3880954.16</v>
      </c>
      <c r="C89" t="n">
        <v>4477991.16</v>
      </c>
      <c r="D89" t="n">
        <v>3884426.6</v>
      </c>
    </row>
    <row r="103">
      <c r="A103" t="inlineStr">
        <is>
          <t>Reporting Plant</t>
        </is>
      </c>
      <c r="B103" t="inlineStr">
        <is>
          <t>FY23-24</t>
        </is>
      </c>
      <c r="C103" t="inlineStr">
        <is>
          <t>FY24-25</t>
        </is>
      </c>
      <c r="D103" t="inlineStr">
        <is>
          <t>FY25-26</t>
        </is>
      </c>
    </row>
    <row r="104">
      <c r="A104" t="inlineStr">
        <is>
          <t>10B1</t>
        </is>
      </c>
      <c r="B104" t="n">
        <v>0</v>
      </c>
      <c r="C104" t="n">
        <v>0</v>
      </c>
      <c r="D104" t="n">
        <v>1200</v>
      </c>
    </row>
    <row r="105">
      <c r="A105" t="inlineStr">
        <is>
          <t>11A1 — Mumbai High North</t>
        </is>
      </c>
      <c r="B105" t="n">
        <v>89800</v>
      </c>
      <c r="C105" t="n">
        <v>81700</v>
      </c>
      <c r="D105" t="n">
        <v>270500</v>
      </c>
    </row>
    <row r="106">
      <c r="A106" t="inlineStr">
        <is>
          <t>12A1 — Heera / Ratna</t>
        </is>
      </c>
      <c r="B106" t="n">
        <v>53999.4</v>
      </c>
      <c r="C106" t="n">
        <v>34600.6</v>
      </c>
      <c r="D106" t="n">
        <v>78600</v>
      </c>
    </row>
    <row r="107">
      <c r="A107" t="inlineStr">
        <is>
          <t>13A1 — Mumbai High South</t>
        </is>
      </c>
      <c r="B107" t="n">
        <v>10000</v>
      </c>
      <c r="C107" t="n">
        <v>37000</v>
      </c>
      <c r="D107" t="n">
        <v>57200</v>
      </c>
    </row>
    <row r="108">
      <c r="A108" t="inlineStr">
        <is>
          <t>20A1</t>
        </is>
      </c>
      <c r="B108" t="n">
        <v>2047000</v>
      </c>
      <c r="C108" t="n">
        <v>2329420</v>
      </c>
      <c r="D108" t="n">
        <v>1675200</v>
      </c>
    </row>
    <row r="109">
      <c r="A109" t="inlineStr">
        <is>
          <t>20B1</t>
        </is>
      </c>
      <c r="B109" t="n">
        <v>0</v>
      </c>
      <c r="C109" t="n">
        <v>1400</v>
      </c>
      <c r="D109" t="n">
        <v>0</v>
      </c>
    </row>
    <row r="110">
      <c r="A110" t="inlineStr">
        <is>
          <t>20T1</t>
        </is>
      </c>
      <c r="B110" t="n">
        <v>1</v>
      </c>
      <c r="C110" t="n">
        <v>0</v>
      </c>
      <c r="D110" t="n">
        <v>0</v>
      </c>
    </row>
    <row r="111">
      <c r="A111" t="inlineStr">
        <is>
          <t>20W1</t>
        </is>
      </c>
      <c r="B111" t="n">
        <v>0</v>
      </c>
      <c r="C111" t="n">
        <v>38400</v>
      </c>
      <c r="D111" t="n">
        <v>77600</v>
      </c>
    </row>
    <row r="112">
      <c r="A112" t="inlineStr">
        <is>
          <t>21A1</t>
        </is>
      </c>
      <c r="B112" t="n">
        <v>29611.42</v>
      </c>
      <c r="C112" t="n">
        <v>52600</v>
      </c>
      <c r="D112" t="n">
        <v>63000</v>
      </c>
    </row>
    <row r="113">
      <c r="A113" t="inlineStr">
        <is>
          <t>21P1</t>
        </is>
      </c>
      <c r="B113" t="n">
        <v>11800</v>
      </c>
      <c r="C113" t="n">
        <v>4200</v>
      </c>
      <c r="D113" t="n">
        <v>21600</v>
      </c>
    </row>
    <row r="114">
      <c r="A114" t="inlineStr">
        <is>
          <t>22A1 — Ahmedabad / Ankleshwar</t>
        </is>
      </c>
      <c r="B114" t="n">
        <v>1193630.6</v>
      </c>
      <c r="C114" t="n">
        <v>1009114.4</v>
      </c>
      <c r="D114" t="n">
        <v>981875</v>
      </c>
    </row>
    <row r="115">
      <c r="A115" t="inlineStr">
        <is>
          <t>25A1 — Rajasthan</t>
        </is>
      </c>
      <c r="B115" t="n">
        <v>194400</v>
      </c>
      <c r="C115" t="n">
        <v>494000</v>
      </c>
      <c r="D115" t="n">
        <v>252991.6</v>
      </c>
    </row>
    <row r="116">
      <c r="A116" t="inlineStr">
        <is>
          <t>40A2</t>
        </is>
      </c>
      <c r="B116" t="n">
        <v>7.5</v>
      </c>
      <c r="C116" t="n">
        <v>0</v>
      </c>
      <c r="D116" t="n">
        <v>0</v>
      </c>
    </row>
    <row r="117">
      <c r="A117" t="inlineStr">
        <is>
          <t>40W2</t>
        </is>
      </c>
      <c r="B117" t="n">
        <v>2100</v>
      </c>
      <c r="C117" t="n">
        <v>1400</v>
      </c>
      <c r="D117" t="n">
        <v>4800</v>
      </c>
    </row>
    <row r="118">
      <c r="A118" t="inlineStr">
        <is>
          <t>41A1</t>
        </is>
      </c>
      <c r="B118" t="n">
        <v>10800</v>
      </c>
      <c r="C118" t="n">
        <v>55300.4</v>
      </c>
      <c r="D118" t="n">
        <v>34365</v>
      </c>
    </row>
    <row r="119">
      <c r="A119" t="inlineStr">
        <is>
          <t>41A2</t>
        </is>
      </c>
      <c r="B119" t="n">
        <v>5400</v>
      </c>
      <c r="C119" t="n">
        <v>0</v>
      </c>
      <c r="D119" t="n">
        <v>0</v>
      </c>
    </row>
    <row r="120">
      <c r="A120" t="inlineStr">
        <is>
          <t>41B1</t>
        </is>
      </c>
      <c r="B120" t="n">
        <v>0</v>
      </c>
      <c r="C120" t="n">
        <v>0</v>
      </c>
      <c r="D120" t="n">
        <v>20</v>
      </c>
    </row>
    <row r="121">
      <c r="A121" t="inlineStr">
        <is>
          <t>41W1</t>
        </is>
      </c>
      <c r="B121" t="n">
        <v>0</v>
      </c>
      <c r="C121" t="n">
        <v>1800</v>
      </c>
      <c r="D121" t="n">
        <v>0</v>
      </c>
    </row>
    <row r="122">
      <c r="A122" t="inlineStr">
        <is>
          <t>50A1 — Tripura</t>
        </is>
      </c>
      <c r="B122" t="n">
        <v>146389.24</v>
      </c>
      <c r="C122" t="n">
        <v>313535.76</v>
      </c>
      <c r="D122" t="n">
        <v>289215</v>
      </c>
    </row>
    <row r="123">
      <c r="A123" t="inlineStr">
        <is>
          <t>51A1 — Assam</t>
        </is>
      </c>
      <c r="B123" t="n">
        <v>85990</v>
      </c>
      <c r="C123" t="n">
        <v>23520</v>
      </c>
      <c r="D123" t="n">
        <v>76260</v>
      </c>
    </row>
    <row r="124">
      <c r="A124" t="inlineStr">
        <is>
          <t>70T2</t>
        </is>
      </c>
      <c r="B124" t="n">
        <v>25</v>
      </c>
      <c r="C124" t="n">
        <v>0</v>
      </c>
      <c r="D12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 ht="28" customHeight="1">
      <c r="A1" s="1" t="inlineStr">
        <is>
          <t>Material Intelligence — Visual Analytics</t>
        </is>
      </c>
    </row>
    <row r="2" ht="18" customHeight="1">
      <c r="A2" s="2" t="inlineStr">
        <is>
          <t>Charts 3 &amp; 4 are Pareto charts (bars sorted high→low + cumulative % line).  Charts 1, 2, 5, 6 are ranked bar / FY comparison charts.</t>
        </is>
      </c>
    </row>
  </sheetData>
  <mergeCells count="2">
    <mergeCell ref="A2:V2"/>
    <mergeCell ref="A1:V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2026-03-16T02:02:44Z</dcterms:created>
  <dcterms:modified xmlns:dcterms="http://purl.org/dc/terms/" xmlns:xsi="http://www.w3.org/2001/XMLSchema-instance" xsi:type="dcterms:W3CDTF">2026-03-16T02:02:44Z</dcterms:modified>
</cp:coreProperties>
</file>